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https://d.docs.live.net/9edd27793a8a6ed6/Documents/Data Analysis/"/>
    </mc:Choice>
  </mc:AlternateContent>
  <xr:revisionPtr revIDLastSave="0" documentId="8_{74D62C50-DBFB-4FEE-838A-D176B6E0249F}" xr6:coauthVersionLast="47" xr6:coauthVersionMax="47" xr10:uidLastSave="{00000000-0000-0000-0000-000000000000}"/>
  <bookViews>
    <workbookView xWindow="-120" yWindow="-120" windowWidth="20730" windowHeight="11160" activeTab="3" xr2:uid="{8C1E5D52-711F-4CDB-8115-CC0CD6E72257}"/>
  </bookViews>
  <sheets>
    <sheet name="DASHBOARD" sheetId="1" r:id="rId1"/>
    <sheet name="Merged C&amp;F Data" sheetId="2" r:id="rId2"/>
    <sheet name="Pivot KPI" sheetId="3" r:id="rId3"/>
    <sheet name="Pivot Chart" sheetId="4" r:id="rId4"/>
  </sheets>
  <definedNames>
    <definedName name="ExternalData_2" localSheetId="1" hidden="1">'Merged C&amp;F Data'!$A$1:$V$301</definedName>
    <definedName name="NativeTimeline_Admission_Date">#N/A</definedName>
    <definedName name="Slicer_Admission_Type">#N/A</definedName>
    <definedName name="Slicer_Consultant_Name">#N/A</definedName>
    <definedName name="Slicer_Department">#N/A</definedName>
    <definedName name="Slicer_Patient_Gender">#N/A</definedName>
    <definedName name="Slicer_Ward">#N/A</definedName>
  </definedNames>
  <calcPr calcId="191029"/>
  <pivotCaches>
    <pivotCache cacheId="4" r:id="rId5"/>
  </pivotCaches>
  <fileRecoveryPr repairLoad="1"/>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301" i="2" l="1"/>
  <c r="AB301" i="2"/>
  <c r="AA301" i="2"/>
  <c r="Z301" i="2" a="1"/>
  <c r="Z301" i="2" s="1"/>
  <c r="Y301" i="2" a="1"/>
  <c r="Y301" i="2" s="1"/>
  <c r="X301" i="2"/>
  <c r="W301" i="2"/>
  <c r="AC300" i="2"/>
  <c r="AB300" i="2"/>
  <c r="AA300" i="2"/>
  <c r="Z300" i="2"/>
  <c r="Z300" i="2" a="1"/>
  <c r="Y300" i="2" a="1"/>
  <c r="Y300" i="2" s="1"/>
  <c r="X300" i="2"/>
  <c r="W300" i="2"/>
  <c r="AC299" i="2"/>
  <c r="AB299" i="2"/>
  <c r="AA299" i="2"/>
  <c r="Z299" i="2" a="1"/>
  <c r="Z299" i="2" s="1"/>
  <c r="Y299" i="2"/>
  <c r="Y299" i="2" a="1"/>
  <c r="X299" i="2"/>
  <c r="W299" i="2"/>
  <c r="AC298" i="2"/>
  <c r="AB298" i="2"/>
  <c r="AA298" i="2"/>
  <c r="Z298" i="2" a="1"/>
  <c r="Z298" i="2" s="1"/>
  <c r="Y298" i="2" a="1"/>
  <c r="Y298" i="2" s="1"/>
  <c r="X298" i="2"/>
  <c r="W298" i="2"/>
  <c r="AC297" i="2"/>
  <c r="AB297" i="2"/>
  <c r="AA297" i="2"/>
  <c r="Z297" i="2"/>
  <c r="Z297" i="2" a="1"/>
  <c r="Y297" i="2" a="1"/>
  <c r="Y297" i="2" s="1"/>
  <c r="X297" i="2"/>
  <c r="W297" i="2"/>
  <c r="AC296" i="2"/>
  <c r="AB296" i="2"/>
  <c r="AA296" i="2"/>
  <c r="Z296" i="2" a="1"/>
  <c r="Z296" i="2" s="1"/>
  <c r="Y296" i="2" a="1"/>
  <c r="Y296" i="2" s="1"/>
  <c r="X296" i="2"/>
  <c r="W296" i="2"/>
  <c r="AC295" i="2"/>
  <c r="AB295" i="2"/>
  <c r="AA295" i="2"/>
  <c r="Z295" i="2" a="1"/>
  <c r="Z295" i="2" s="1"/>
  <c r="Y295" i="2"/>
  <c r="Y295" i="2" a="1"/>
  <c r="X295" i="2"/>
  <c r="W295" i="2"/>
  <c r="AC294" i="2"/>
  <c r="AB294" i="2"/>
  <c r="AA294" i="2"/>
  <c r="Z294" i="2" a="1"/>
  <c r="Z294" i="2" s="1"/>
  <c r="Y294" i="2" a="1"/>
  <c r="Y294" i="2" s="1"/>
  <c r="X294" i="2"/>
  <c r="W294" i="2"/>
  <c r="AC293" i="2"/>
  <c r="AB293" i="2"/>
  <c r="AA293" i="2"/>
  <c r="Z293" i="2"/>
  <c r="Z293" i="2" a="1"/>
  <c r="Y293" i="2" a="1"/>
  <c r="Y293" i="2" s="1"/>
  <c r="X293" i="2"/>
  <c r="W293" i="2"/>
  <c r="AC292" i="2"/>
  <c r="AB292" i="2"/>
  <c r="AA292" i="2"/>
  <c r="Z292" i="2" a="1"/>
  <c r="Z292" i="2" s="1"/>
  <c r="Y292" i="2" a="1"/>
  <c r="Y292" i="2" s="1"/>
  <c r="X292" i="2"/>
  <c r="W292" i="2"/>
  <c r="AC291" i="2"/>
  <c r="AB291" i="2"/>
  <c r="AA291" i="2"/>
  <c r="Z291" i="2" a="1"/>
  <c r="Z291" i="2" s="1"/>
  <c r="Y291" i="2"/>
  <c r="Y291" i="2" a="1"/>
  <c r="X291" i="2"/>
  <c r="W291" i="2"/>
  <c r="AC290" i="2"/>
  <c r="AB290" i="2"/>
  <c r="AA290" i="2"/>
  <c r="Z290" i="2" a="1"/>
  <c r="Z290" i="2" s="1"/>
  <c r="Y290" i="2" a="1"/>
  <c r="Y290" i="2" s="1"/>
  <c r="X290" i="2"/>
  <c r="W290" i="2"/>
  <c r="AC289" i="2"/>
  <c r="AB289" i="2"/>
  <c r="AA289" i="2"/>
  <c r="Z289" i="2"/>
  <c r="Z289" i="2" a="1"/>
  <c r="Y289" i="2" a="1"/>
  <c r="Y289" i="2" s="1"/>
  <c r="X289" i="2"/>
  <c r="W289" i="2"/>
  <c r="AC288" i="2"/>
  <c r="AB288" i="2"/>
  <c r="AA288" i="2"/>
  <c r="Z288" i="2" a="1"/>
  <c r="Z288" i="2" s="1"/>
  <c r="Y288" i="2" a="1"/>
  <c r="Y288" i="2" s="1"/>
  <c r="X288" i="2"/>
  <c r="W288" i="2"/>
  <c r="AC287" i="2"/>
  <c r="AB287" i="2"/>
  <c r="AA287" i="2"/>
  <c r="Z287" i="2" a="1"/>
  <c r="Z287" i="2" s="1"/>
  <c r="Y287" i="2"/>
  <c r="Y287" i="2" a="1"/>
  <c r="X287" i="2"/>
  <c r="W287" i="2"/>
  <c r="AC286" i="2"/>
  <c r="AB286" i="2"/>
  <c r="AA286" i="2"/>
  <c r="Z286" i="2" a="1"/>
  <c r="Z286" i="2" s="1"/>
  <c r="Y286" i="2" a="1"/>
  <c r="Y286" i="2" s="1"/>
  <c r="X286" i="2"/>
  <c r="W286" i="2"/>
  <c r="AC285" i="2"/>
  <c r="AB285" i="2"/>
  <c r="AA285" i="2"/>
  <c r="Z285" i="2"/>
  <c r="Z285" i="2" a="1"/>
  <c r="Y285" i="2" a="1"/>
  <c r="Y285" i="2" s="1"/>
  <c r="X285" i="2"/>
  <c r="W285" i="2"/>
  <c r="AC284" i="2"/>
  <c r="AB284" i="2"/>
  <c r="AA284" i="2"/>
  <c r="Z284" i="2" a="1"/>
  <c r="Z284" i="2" s="1"/>
  <c r="Y284" i="2" a="1"/>
  <c r="Y284" i="2" s="1"/>
  <c r="X284" i="2"/>
  <c r="W284" i="2"/>
  <c r="AC283" i="2"/>
  <c r="AB283" i="2"/>
  <c r="AA283" i="2"/>
  <c r="Z283" i="2" a="1"/>
  <c r="Z283" i="2" s="1"/>
  <c r="Y283" i="2"/>
  <c r="Y283" i="2" a="1"/>
  <c r="X283" i="2"/>
  <c r="W283" i="2"/>
  <c r="AC282" i="2"/>
  <c r="AB282" i="2"/>
  <c r="AA282" i="2"/>
  <c r="Z282" i="2" a="1"/>
  <c r="Z282" i="2" s="1"/>
  <c r="Y282" i="2" a="1"/>
  <c r="Y282" i="2" s="1"/>
  <c r="X282" i="2"/>
  <c r="W282" i="2"/>
  <c r="AC281" i="2"/>
  <c r="AB281" i="2"/>
  <c r="AA281" i="2"/>
  <c r="Z281" i="2"/>
  <c r="Z281" i="2" a="1"/>
  <c r="Y281" i="2" a="1"/>
  <c r="Y281" i="2" s="1"/>
  <c r="X281" i="2"/>
  <c r="W281" i="2"/>
  <c r="AC280" i="2"/>
  <c r="AB280" i="2"/>
  <c r="AA280" i="2"/>
  <c r="Z280" i="2" a="1"/>
  <c r="Z280" i="2" s="1"/>
  <c r="Y280" i="2" a="1"/>
  <c r="Y280" i="2" s="1"/>
  <c r="X280" i="2"/>
  <c r="W280" i="2"/>
  <c r="AC279" i="2"/>
  <c r="AB279" i="2"/>
  <c r="AA279" i="2"/>
  <c r="Z279" i="2" a="1"/>
  <c r="Z279" i="2" s="1"/>
  <c r="Y279" i="2"/>
  <c r="Y279" i="2" a="1"/>
  <c r="X279" i="2"/>
  <c r="W279" i="2"/>
  <c r="AC278" i="2"/>
  <c r="AB278" i="2"/>
  <c r="AA278" i="2"/>
  <c r="Z278" i="2" a="1"/>
  <c r="Z278" i="2" s="1"/>
  <c r="Y278" i="2" a="1"/>
  <c r="Y278" i="2" s="1"/>
  <c r="X278" i="2"/>
  <c r="W278" i="2"/>
  <c r="AC277" i="2"/>
  <c r="AB277" i="2"/>
  <c r="AA277" i="2"/>
  <c r="Z277" i="2"/>
  <c r="Z277" i="2" a="1"/>
  <c r="Y277" i="2" a="1"/>
  <c r="Y277" i="2" s="1"/>
  <c r="X277" i="2"/>
  <c r="W277" i="2"/>
  <c r="AC276" i="2"/>
  <c r="AB276" i="2"/>
  <c r="AA276" i="2"/>
  <c r="Z276" i="2" a="1"/>
  <c r="Z276" i="2" s="1"/>
  <c r="Y276" i="2" a="1"/>
  <c r="Y276" i="2" s="1"/>
  <c r="X276" i="2"/>
  <c r="W276" i="2"/>
  <c r="AC275" i="2"/>
  <c r="AB275" i="2"/>
  <c r="AA275" i="2"/>
  <c r="Z275" i="2" a="1"/>
  <c r="Z275" i="2" s="1"/>
  <c r="Y275" i="2"/>
  <c r="Y275" i="2" a="1"/>
  <c r="X275" i="2"/>
  <c r="W275" i="2"/>
  <c r="AC274" i="2"/>
  <c r="AB274" i="2"/>
  <c r="AA274" i="2"/>
  <c r="Z274" i="2" a="1"/>
  <c r="Z274" i="2" s="1"/>
  <c r="Y274" i="2" a="1"/>
  <c r="Y274" i="2" s="1"/>
  <c r="X274" i="2"/>
  <c r="W274" i="2"/>
  <c r="AC273" i="2"/>
  <c r="AB273" i="2"/>
  <c r="AA273" i="2"/>
  <c r="Z273" i="2"/>
  <c r="Z273" i="2" a="1"/>
  <c r="Y273" i="2" a="1"/>
  <c r="Y273" i="2" s="1"/>
  <c r="X273" i="2"/>
  <c r="W273" i="2"/>
  <c r="AC272" i="2"/>
  <c r="AB272" i="2"/>
  <c r="AA272" i="2"/>
  <c r="Z272" i="2" a="1"/>
  <c r="Z272" i="2" s="1"/>
  <c r="Y272" i="2" a="1"/>
  <c r="Y272" i="2" s="1"/>
  <c r="X272" i="2"/>
  <c r="W272" i="2"/>
  <c r="AC271" i="2"/>
  <c r="AB271" i="2"/>
  <c r="AA271" i="2"/>
  <c r="Z271" i="2" a="1"/>
  <c r="Z271" i="2" s="1"/>
  <c r="Y271" i="2"/>
  <c r="Y271" i="2" a="1"/>
  <c r="X271" i="2"/>
  <c r="W271" i="2"/>
  <c r="AC270" i="2"/>
  <c r="AB270" i="2"/>
  <c r="AA270" i="2"/>
  <c r="Z270" i="2" a="1"/>
  <c r="Z270" i="2" s="1"/>
  <c r="Y270" i="2" a="1"/>
  <c r="Y270" i="2" s="1"/>
  <c r="X270" i="2"/>
  <c r="W270" i="2"/>
  <c r="AC269" i="2"/>
  <c r="AB269" i="2"/>
  <c r="AA269" i="2"/>
  <c r="Z269" i="2"/>
  <c r="Z269" i="2" a="1"/>
  <c r="Y269" i="2" a="1"/>
  <c r="Y269" i="2" s="1"/>
  <c r="X269" i="2"/>
  <c r="W269" i="2"/>
  <c r="AC268" i="2"/>
  <c r="AB268" i="2"/>
  <c r="AA268" i="2"/>
  <c r="Z268" i="2" a="1"/>
  <c r="Z268" i="2" s="1"/>
  <c r="Y268" i="2" a="1"/>
  <c r="Y268" i="2" s="1"/>
  <c r="X268" i="2"/>
  <c r="W268" i="2"/>
  <c r="AC267" i="2"/>
  <c r="AB267" i="2"/>
  <c r="AA267" i="2"/>
  <c r="Z267" i="2" a="1"/>
  <c r="Z267" i="2" s="1"/>
  <c r="Y267" i="2"/>
  <c r="Y267" i="2" a="1"/>
  <c r="X267" i="2"/>
  <c r="W267" i="2"/>
  <c r="AC266" i="2"/>
  <c r="AB266" i="2"/>
  <c r="AA266" i="2"/>
  <c r="Z266" i="2" a="1"/>
  <c r="Z266" i="2" s="1"/>
  <c r="Y266" i="2" a="1"/>
  <c r="Y266" i="2" s="1"/>
  <c r="X266" i="2"/>
  <c r="W266" i="2"/>
  <c r="AC265" i="2"/>
  <c r="AB265" i="2"/>
  <c r="AA265" i="2"/>
  <c r="Z265" i="2"/>
  <c r="Z265" i="2" a="1"/>
  <c r="Y265" i="2" a="1"/>
  <c r="Y265" i="2" s="1"/>
  <c r="X265" i="2"/>
  <c r="W265" i="2"/>
  <c r="AC264" i="2"/>
  <c r="AB264" i="2"/>
  <c r="AA264" i="2"/>
  <c r="Z264" i="2" a="1"/>
  <c r="Z264" i="2" s="1"/>
  <c r="Y264" i="2" a="1"/>
  <c r="Y264" i="2" s="1"/>
  <c r="X264" i="2"/>
  <c r="W264" i="2"/>
  <c r="AC263" i="2"/>
  <c r="AB263" i="2"/>
  <c r="AA263" i="2"/>
  <c r="Z263" i="2" a="1"/>
  <c r="Z263" i="2" s="1"/>
  <c r="Y263" i="2"/>
  <c r="Y263" i="2" a="1"/>
  <c r="X263" i="2"/>
  <c r="W263" i="2"/>
  <c r="AC262" i="2"/>
  <c r="AB262" i="2"/>
  <c r="AA262" i="2"/>
  <c r="Z262" i="2" a="1"/>
  <c r="Z262" i="2" s="1"/>
  <c r="Y262" i="2" a="1"/>
  <c r="Y262" i="2" s="1"/>
  <c r="X262" i="2"/>
  <c r="W262" i="2"/>
  <c r="AC261" i="2"/>
  <c r="AB261" i="2"/>
  <c r="AA261" i="2"/>
  <c r="Z261" i="2"/>
  <c r="Z261" i="2" a="1"/>
  <c r="Y261" i="2" a="1"/>
  <c r="Y261" i="2" s="1"/>
  <c r="X261" i="2"/>
  <c r="W261" i="2"/>
  <c r="AC260" i="2"/>
  <c r="AB260" i="2"/>
  <c r="AA260" i="2"/>
  <c r="Z260" i="2" a="1"/>
  <c r="Z260" i="2" s="1"/>
  <c r="Y260" i="2" a="1"/>
  <c r="Y260" i="2" s="1"/>
  <c r="X260" i="2"/>
  <c r="W260" i="2"/>
  <c r="AC259" i="2"/>
  <c r="AB259" i="2"/>
  <c r="AA259" i="2"/>
  <c r="Z259" i="2" a="1"/>
  <c r="Z259" i="2" s="1"/>
  <c r="Y259" i="2"/>
  <c r="Y259" i="2" a="1"/>
  <c r="X259" i="2"/>
  <c r="W259" i="2"/>
  <c r="AC258" i="2"/>
  <c r="AB258" i="2"/>
  <c r="AA258" i="2"/>
  <c r="Z258" i="2" a="1"/>
  <c r="Z258" i="2" s="1"/>
  <c r="Y258" i="2" a="1"/>
  <c r="Y258" i="2" s="1"/>
  <c r="X258" i="2"/>
  <c r="W258" i="2"/>
  <c r="AC257" i="2"/>
  <c r="AB257" i="2"/>
  <c r="AA257" i="2"/>
  <c r="Z257" i="2"/>
  <c r="Z257" i="2" a="1"/>
  <c r="Y257" i="2" a="1"/>
  <c r="Y257" i="2" s="1"/>
  <c r="X257" i="2"/>
  <c r="W257" i="2"/>
  <c r="AC256" i="2"/>
  <c r="AB256" i="2"/>
  <c r="AA256" i="2"/>
  <c r="Z256" i="2" a="1"/>
  <c r="Z256" i="2" s="1"/>
  <c r="Y256" i="2" a="1"/>
  <c r="Y256" i="2" s="1"/>
  <c r="X256" i="2"/>
  <c r="W256" i="2"/>
  <c r="AC255" i="2"/>
  <c r="AB255" i="2"/>
  <c r="AA255" i="2"/>
  <c r="Z255" i="2" a="1"/>
  <c r="Z255" i="2" s="1"/>
  <c r="Y255" i="2"/>
  <c r="Y255" i="2" a="1"/>
  <c r="X255" i="2"/>
  <c r="W255" i="2"/>
  <c r="AC254" i="2"/>
  <c r="AB254" i="2"/>
  <c r="AA254" i="2"/>
  <c r="Z254" i="2" a="1"/>
  <c r="Z254" i="2" s="1"/>
  <c r="Y254" i="2" a="1"/>
  <c r="Y254" i="2" s="1"/>
  <c r="X254" i="2"/>
  <c r="W254" i="2"/>
  <c r="AC253" i="2"/>
  <c r="AB253" i="2"/>
  <c r="AA253" i="2"/>
  <c r="Z253" i="2"/>
  <c r="Z253" i="2" a="1"/>
  <c r="Y253" i="2" a="1"/>
  <c r="Y253" i="2" s="1"/>
  <c r="X253" i="2"/>
  <c r="W253" i="2"/>
  <c r="AC252" i="2"/>
  <c r="AB252" i="2"/>
  <c r="AA252" i="2"/>
  <c r="Z252" i="2" a="1"/>
  <c r="Z252" i="2" s="1"/>
  <c r="Y252" i="2" a="1"/>
  <c r="Y252" i="2" s="1"/>
  <c r="X252" i="2"/>
  <c r="W252" i="2"/>
  <c r="AC251" i="2"/>
  <c r="AB251" i="2"/>
  <c r="AA251" i="2"/>
  <c r="Z251" i="2" a="1"/>
  <c r="Z251" i="2" s="1"/>
  <c r="Y251" i="2"/>
  <c r="Y251" i="2" a="1"/>
  <c r="X251" i="2"/>
  <c r="W251" i="2"/>
  <c r="AC250" i="2"/>
  <c r="AB250" i="2"/>
  <c r="AA250" i="2"/>
  <c r="Z250" i="2" a="1"/>
  <c r="Z250" i="2" s="1"/>
  <c r="Y250" i="2" a="1"/>
  <c r="Y250" i="2" s="1"/>
  <c r="X250" i="2"/>
  <c r="W250" i="2"/>
  <c r="AC249" i="2"/>
  <c r="AB249" i="2"/>
  <c r="AA249" i="2"/>
  <c r="Z249" i="2"/>
  <c r="Z249" i="2" a="1"/>
  <c r="Y249" i="2" a="1"/>
  <c r="Y249" i="2" s="1"/>
  <c r="X249" i="2"/>
  <c r="W249" i="2"/>
  <c r="AC248" i="2"/>
  <c r="AB248" i="2"/>
  <c r="AA248" i="2"/>
  <c r="Z248" i="2" a="1"/>
  <c r="Z248" i="2" s="1"/>
  <c r="Y248" i="2" a="1"/>
  <c r="Y248" i="2" s="1"/>
  <c r="X248" i="2"/>
  <c r="W248" i="2"/>
  <c r="AC247" i="2"/>
  <c r="AB247" i="2"/>
  <c r="AA247" i="2"/>
  <c r="Z247" i="2" a="1"/>
  <c r="Z247" i="2" s="1"/>
  <c r="Y247" i="2"/>
  <c r="Y247" i="2" a="1"/>
  <c r="X247" i="2"/>
  <c r="W247" i="2"/>
  <c r="AC246" i="2"/>
  <c r="AB246" i="2"/>
  <c r="AA246" i="2"/>
  <c r="Z246" i="2" a="1"/>
  <c r="Z246" i="2" s="1"/>
  <c r="Y246" i="2" a="1"/>
  <c r="Y246" i="2" s="1"/>
  <c r="X246" i="2"/>
  <c r="W246" i="2"/>
  <c r="AC245" i="2"/>
  <c r="AB245" i="2"/>
  <c r="AA245" i="2"/>
  <c r="Z245" i="2"/>
  <c r="Z245" i="2" a="1"/>
  <c r="Y245" i="2" a="1"/>
  <c r="Y245" i="2" s="1"/>
  <c r="X245" i="2"/>
  <c r="W245" i="2"/>
  <c r="AC244" i="2"/>
  <c r="AB244" i="2"/>
  <c r="AA244" i="2"/>
  <c r="Z244" i="2" a="1"/>
  <c r="Z244" i="2" s="1"/>
  <c r="Y244" i="2" a="1"/>
  <c r="Y244" i="2" s="1"/>
  <c r="X244" i="2"/>
  <c r="W244" i="2"/>
  <c r="AC243" i="2"/>
  <c r="AB243" i="2"/>
  <c r="AA243" i="2"/>
  <c r="Z243" i="2" a="1"/>
  <c r="Z243" i="2" s="1"/>
  <c r="Y243" i="2"/>
  <c r="Y243" i="2" a="1"/>
  <c r="X243" i="2"/>
  <c r="W243" i="2"/>
  <c r="AC242" i="2"/>
  <c r="AB242" i="2"/>
  <c r="AA242" i="2"/>
  <c r="Z242" i="2" a="1"/>
  <c r="Z242" i="2" s="1"/>
  <c r="Y242" i="2" a="1"/>
  <c r="Y242" i="2" s="1"/>
  <c r="X242" i="2"/>
  <c r="W242" i="2"/>
  <c r="AC241" i="2"/>
  <c r="AB241" i="2"/>
  <c r="AA241" i="2"/>
  <c r="Z241" i="2"/>
  <c r="Z241" i="2" a="1"/>
  <c r="Y241" i="2" a="1"/>
  <c r="Y241" i="2" s="1"/>
  <c r="X241" i="2"/>
  <c r="W241" i="2"/>
  <c r="AC240" i="2"/>
  <c r="AB240" i="2"/>
  <c r="AA240" i="2"/>
  <c r="Z240" i="2" a="1"/>
  <c r="Z240" i="2" s="1"/>
  <c r="Y240" i="2" a="1"/>
  <c r="Y240" i="2" s="1"/>
  <c r="X240" i="2"/>
  <c r="W240" i="2"/>
  <c r="AC239" i="2"/>
  <c r="AB239" i="2"/>
  <c r="AA239" i="2"/>
  <c r="Z239" i="2" a="1"/>
  <c r="Z239" i="2" s="1"/>
  <c r="Y239" i="2"/>
  <c r="Y239" i="2" a="1"/>
  <c r="X239" i="2"/>
  <c r="W239" i="2"/>
  <c r="AC238" i="2"/>
  <c r="AB238" i="2"/>
  <c r="AA238" i="2"/>
  <c r="Z238" i="2" a="1"/>
  <c r="Z238" i="2" s="1"/>
  <c r="Y238" i="2" a="1"/>
  <c r="Y238" i="2" s="1"/>
  <c r="X238" i="2"/>
  <c r="W238" i="2"/>
  <c r="AC237" i="2"/>
  <c r="AB237" i="2"/>
  <c r="AA237" i="2"/>
  <c r="Z237" i="2"/>
  <c r="Z237" i="2" a="1"/>
  <c r="Y237" i="2" a="1"/>
  <c r="Y237" i="2" s="1"/>
  <c r="X237" i="2"/>
  <c r="W237" i="2"/>
  <c r="AC236" i="2"/>
  <c r="AB236" i="2"/>
  <c r="AA236" i="2"/>
  <c r="Z236" i="2" a="1"/>
  <c r="Z236" i="2" s="1"/>
  <c r="Y236" i="2" a="1"/>
  <c r="Y236" i="2" s="1"/>
  <c r="X236" i="2"/>
  <c r="W236" i="2"/>
  <c r="AC235" i="2"/>
  <c r="AB235" i="2"/>
  <c r="AA235" i="2"/>
  <c r="Z235" i="2" a="1"/>
  <c r="Z235" i="2" s="1"/>
  <c r="Y235" i="2"/>
  <c r="Y235" i="2" a="1"/>
  <c r="X235" i="2"/>
  <c r="W235" i="2"/>
  <c r="AC234" i="2"/>
  <c r="AB234" i="2"/>
  <c r="AA234" i="2"/>
  <c r="Z234" i="2" a="1"/>
  <c r="Z234" i="2" s="1"/>
  <c r="Y234" i="2" a="1"/>
  <c r="Y234" i="2" s="1"/>
  <c r="X234" i="2"/>
  <c r="W234" i="2"/>
  <c r="AC233" i="2"/>
  <c r="AB233" i="2"/>
  <c r="AA233" i="2"/>
  <c r="Z233" i="2"/>
  <c r="Z233" i="2" a="1"/>
  <c r="Y233" i="2" a="1"/>
  <c r="Y233" i="2" s="1"/>
  <c r="X233" i="2"/>
  <c r="W233" i="2"/>
  <c r="AC232" i="2"/>
  <c r="AB232" i="2"/>
  <c r="AA232" i="2"/>
  <c r="Z232" i="2" a="1"/>
  <c r="Z232" i="2" s="1"/>
  <c r="Y232" i="2" a="1"/>
  <c r="Y232" i="2" s="1"/>
  <c r="X232" i="2"/>
  <c r="W232" i="2"/>
  <c r="AC231" i="2"/>
  <c r="AB231" i="2"/>
  <c r="AA231" i="2"/>
  <c r="Z231" i="2" a="1"/>
  <c r="Z231" i="2" s="1"/>
  <c r="Y231" i="2"/>
  <c r="Y231" i="2" a="1"/>
  <c r="X231" i="2"/>
  <c r="W231" i="2"/>
  <c r="AC230" i="2"/>
  <c r="AB230" i="2"/>
  <c r="AA230" i="2"/>
  <c r="Z230" i="2" a="1"/>
  <c r="Z230" i="2" s="1"/>
  <c r="Y230" i="2" a="1"/>
  <c r="Y230" i="2" s="1"/>
  <c r="X230" i="2"/>
  <c r="W230" i="2"/>
  <c r="AC229" i="2"/>
  <c r="AB229" i="2"/>
  <c r="AA229" i="2"/>
  <c r="Z229" i="2"/>
  <c r="Z229" i="2" a="1"/>
  <c r="Y229" i="2" a="1"/>
  <c r="Y229" i="2" s="1"/>
  <c r="X229" i="2"/>
  <c r="W229" i="2"/>
  <c r="AC228" i="2"/>
  <c r="AB228" i="2"/>
  <c r="AA228" i="2"/>
  <c r="Z228" i="2" a="1"/>
  <c r="Z228" i="2" s="1"/>
  <c r="Y228" i="2" a="1"/>
  <c r="Y228" i="2" s="1"/>
  <c r="X228" i="2"/>
  <c r="W228" i="2"/>
  <c r="AC227" i="2"/>
  <c r="AB227" i="2"/>
  <c r="AA227" i="2"/>
  <c r="Z227" i="2" a="1"/>
  <c r="Z227" i="2" s="1"/>
  <c r="Y227" i="2"/>
  <c r="Y227" i="2" a="1"/>
  <c r="X227" i="2"/>
  <c r="W227" i="2"/>
  <c r="AC226" i="2"/>
  <c r="AB226" i="2"/>
  <c r="AA226" i="2"/>
  <c r="Z226" i="2" a="1"/>
  <c r="Z226" i="2" s="1"/>
  <c r="Y226" i="2" a="1"/>
  <c r="Y226" i="2" s="1"/>
  <c r="X226" i="2"/>
  <c r="W226" i="2"/>
  <c r="AC225" i="2"/>
  <c r="AB225" i="2"/>
  <c r="AA225" i="2"/>
  <c r="Z225" i="2"/>
  <c r="Z225" i="2" a="1"/>
  <c r="Y225" i="2" a="1"/>
  <c r="Y225" i="2" s="1"/>
  <c r="X225" i="2"/>
  <c r="W225" i="2"/>
  <c r="AC224" i="2"/>
  <c r="AB224" i="2"/>
  <c r="AA224" i="2"/>
  <c r="Z224" i="2" a="1"/>
  <c r="Z224" i="2" s="1"/>
  <c r="Y224" i="2" a="1"/>
  <c r="Y224" i="2" s="1"/>
  <c r="X224" i="2"/>
  <c r="W224" i="2"/>
  <c r="AC223" i="2"/>
  <c r="AB223" i="2"/>
  <c r="AA223" i="2"/>
  <c r="Z223" i="2" a="1"/>
  <c r="Z223" i="2" s="1"/>
  <c r="Y223" i="2"/>
  <c r="Y223" i="2" a="1"/>
  <c r="X223" i="2"/>
  <c r="W223" i="2"/>
  <c r="AC222" i="2"/>
  <c r="AB222" i="2"/>
  <c r="AA222" i="2"/>
  <c r="Z222" i="2" a="1"/>
  <c r="Z222" i="2" s="1"/>
  <c r="Y222" i="2" a="1"/>
  <c r="Y222" i="2" s="1"/>
  <c r="X222" i="2"/>
  <c r="W222" i="2"/>
  <c r="AC221" i="2"/>
  <c r="AB221" i="2"/>
  <c r="AA221" i="2"/>
  <c r="Z221" i="2"/>
  <c r="Z221" i="2" a="1"/>
  <c r="Y221" i="2" a="1"/>
  <c r="Y221" i="2" s="1"/>
  <c r="X221" i="2"/>
  <c r="W221" i="2"/>
  <c r="AC220" i="2"/>
  <c r="AB220" i="2"/>
  <c r="AA220" i="2"/>
  <c r="Z220" i="2" a="1"/>
  <c r="Z220" i="2" s="1"/>
  <c r="Y220" i="2" a="1"/>
  <c r="Y220" i="2" s="1"/>
  <c r="X220" i="2"/>
  <c r="W220" i="2"/>
  <c r="AC219" i="2"/>
  <c r="AB219" i="2"/>
  <c r="AA219" i="2"/>
  <c r="Z219" i="2" a="1"/>
  <c r="Z219" i="2" s="1"/>
  <c r="Y219" i="2"/>
  <c r="Y219" i="2" a="1"/>
  <c r="X219" i="2"/>
  <c r="W219" i="2"/>
  <c r="AC218" i="2"/>
  <c r="AB218" i="2"/>
  <c r="AA218" i="2"/>
  <c r="Z218" i="2" a="1"/>
  <c r="Z218" i="2" s="1"/>
  <c r="Y218" i="2" a="1"/>
  <c r="Y218" i="2" s="1"/>
  <c r="X218" i="2"/>
  <c r="W218" i="2"/>
  <c r="AC217" i="2"/>
  <c r="AB217" i="2"/>
  <c r="AA217" i="2"/>
  <c r="Z217" i="2"/>
  <c r="Z217" i="2" a="1"/>
  <c r="Y217" i="2" a="1"/>
  <c r="Y217" i="2" s="1"/>
  <c r="X217" i="2"/>
  <c r="W217" i="2"/>
  <c r="AC216" i="2"/>
  <c r="AB216" i="2"/>
  <c r="AA216" i="2"/>
  <c r="Z216" i="2" a="1"/>
  <c r="Z216" i="2" s="1"/>
  <c r="Y216" i="2" a="1"/>
  <c r="Y216" i="2" s="1"/>
  <c r="X216" i="2"/>
  <c r="W216" i="2"/>
  <c r="AC215" i="2"/>
  <c r="AB215" i="2"/>
  <c r="AA215" i="2"/>
  <c r="Z215" i="2" a="1"/>
  <c r="Z215" i="2" s="1"/>
  <c r="Y215" i="2"/>
  <c r="Y215" i="2" a="1"/>
  <c r="X215" i="2"/>
  <c r="W215" i="2"/>
  <c r="AC214" i="2"/>
  <c r="AB214" i="2"/>
  <c r="AA214" i="2"/>
  <c r="Z214" i="2" a="1"/>
  <c r="Z214" i="2" s="1"/>
  <c r="Y214" i="2" a="1"/>
  <c r="Y214" i="2" s="1"/>
  <c r="X214" i="2"/>
  <c r="W214" i="2"/>
  <c r="AC213" i="2"/>
  <c r="AB213" i="2"/>
  <c r="AA213" i="2"/>
  <c r="Z213" i="2"/>
  <c r="Z213" i="2" a="1"/>
  <c r="Y213" i="2" a="1"/>
  <c r="Y213" i="2" s="1"/>
  <c r="X213" i="2"/>
  <c r="W213" i="2"/>
  <c r="AC212" i="2"/>
  <c r="AB212" i="2"/>
  <c r="AA212" i="2"/>
  <c r="Z212" i="2" a="1"/>
  <c r="Z212" i="2" s="1"/>
  <c r="Y212" i="2" a="1"/>
  <c r="Y212" i="2" s="1"/>
  <c r="X212" i="2"/>
  <c r="W212" i="2"/>
  <c r="AC211" i="2"/>
  <c r="AB211" i="2"/>
  <c r="AA211" i="2"/>
  <c r="Z211" i="2" a="1"/>
  <c r="Z211" i="2" s="1"/>
  <c r="Y211" i="2"/>
  <c r="Y211" i="2" a="1"/>
  <c r="X211" i="2"/>
  <c r="W211" i="2"/>
  <c r="AC210" i="2"/>
  <c r="AB210" i="2"/>
  <c r="AA210" i="2"/>
  <c r="Z210" i="2" a="1"/>
  <c r="Z210" i="2" s="1"/>
  <c r="Y210" i="2" a="1"/>
  <c r="Y210" i="2" s="1"/>
  <c r="X210" i="2"/>
  <c r="W210" i="2"/>
  <c r="AC209" i="2"/>
  <c r="AB209" i="2"/>
  <c r="AA209" i="2"/>
  <c r="Z209" i="2"/>
  <c r="Z209" i="2" a="1"/>
  <c r="Y209" i="2" a="1"/>
  <c r="Y209" i="2" s="1"/>
  <c r="X209" i="2"/>
  <c r="W209" i="2"/>
  <c r="AC208" i="2"/>
  <c r="AB208" i="2"/>
  <c r="AA208" i="2"/>
  <c r="Z208" i="2" a="1"/>
  <c r="Z208" i="2" s="1"/>
  <c r="Y208" i="2" a="1"/>
  <c r="Y208" i="2" s="1"/>
  <c r="X208" i="2"/>
  <c r="W208" i="2"/>
  <c r="AC207" i="2"/>
  <c r="AB207" i="2"/>
  <c r="AA207" i="2"/>
  <c r="Z207" i="2" a="1"/>
  <c r="Z207" i="2" s="1"/>
  <c r="Y207" i="2"/>
  <c r="Y207" i="2" a="1"/>
  <c r="X207" i="2"/>
  <c r="W207" i="2"/>
  <c r="AC206" i="2"/>
  <c r="AB206" i="2"/>
  <c r="AA206" i="2"/>
  <c r="Z206" i="2" a="1"/>
  <c r="Z206" i="2" s="1"/>
  <c r="Y206" i="2" a="1"/>
  <c r="Y206" i="2" s="1"/>
  <c r="X206" i="2"/>
  <c r="W206" i="2"/>
  <c r="AC205" i="2"/>
  <c r="AB205" i="2"/>
  <c r="AA205" i="2"/>
  <c r="Z205" i="2"/>
  <c r="Z205" i="2" a="1"/>
  <c r="Y205" i="2" a="1"/>
  <c r="Y205" i="2" s="1"/>
  <c r="X205" i="2"/>
  <c r="W205" i="2"/>
  <c r="AC204" i="2"/>
  <c r="AB204" i="2"/>
  <c r="AA204" i="2"/>
  <c r="Z204" i="2" a="1"/>
  <c r="Z204" i="2" s="1"/>
  <c r="Y204" i="2" a="1"/>
  <c r="Y204" i="2" s="1"/>
  <c r="X204" i="2"/>
  <c r="W204" i="2"/>
  <c r="AC203" i="2"/>
  <c r="AB203" i="2"/>
  <c r="AA203" i="2"/>
  <c r="Z203" i="2" a="1"/>
  <c r="Z203" i="2" s="1"/>
  <c r="Y203" i="2"/>
  <c r="Y203" i="2" a="1"/>
  <c r="X203" i="2"/>
  <c r="W203" i="2"/>
  <c r="AC202" i="2"/>
  <c r="AB202" i="2"/>
  <c r="AA202" i="2"/>
  <c r="Z202" i="2" a="1"/>
  <c r="Z202" i="2" s="1"/>
  <c r="Y202" i="2" a="1"/>
  <c r="Y202" i="2" s="1"/>
  <c r="X202" i="2"/>
  <c r="W202" i="2"/>
  <c r="AC201" i="2"/>
  <c r="AB201" i="2"/>
  <c r="AA201" i="2"/>
  <c r="Z201" i="2"/>
  <c r="Z201" i="2" a="1"/>
  <c r="Y201" i="2" a="1"/>
  <c r="Y201" i="2" s="1"/>
  <c r="X201" i="2"/>
  <c r="W201" i="2"/>
  <c r="AC200" i="2"/>
  <c r="AB200" i="2"/>
  <c r="AA200" i="2"/>
  <c r="Z200" i="2" a="1"/>
  <c r="Z200" i="2" s="1"/>
  <c r="Y200" i="2" a="1"/>
  <c r="Y200" i="2" s="1"/>
  <c r="X200" i="2"/>
  <c r="W200" i="2"/>
  <c r="AC199" i="2"/>
  <c r="AB199" i="2"/>
  <c r="AA199" i="2"/>
  <c r="Z199" i="2" a="1"/>
  <c r="Z199" i="2" s="1"/>
  <c r="Y199" i="2"/>
  <c r="Y199" i="2" a="1"/>
  <c r="X199" i="2"/>
  <c r="W199" i="2"/>
  <c r="AC198" i="2"/>
  <c r="AB198" i="2"/>
  <c r="AA198" i="2"/>
  <c r="Z198" i="2" a="1"/>
  <c r="Z198" i="2" s="1"/>
  <c r="Y198" i="2" a="1"/>
  <c r="Y198" i="2" s="1"/>
  <c r="X198" i="2"/>
  <c r="W198" i="2"/>
  <c r="AC197" i="2"/>
  <c r="AB197" i="2"/>
  <c r="AA197" i="2"/>
  <c r="Z197" i="2"/>
  <c r="Z197" i="2" a="1"/>
  <c r="Y197" i="2" a="1"/>
  <c r="Y197" i="2" s="1"/>
  <c r="X197" i="2"/>
  <c r="W197" i="2"/>
  <c r="AC196" i="2"/>
  <c r="AB196" i="2"/>
  <c r="AA196" i="2"/>
  <c r="Z196" i="2" a="1"/>
  <c r="Z196" i="2" s="1"/>
  <c r="Y196" i="2" a="1"/>
  <c r="Y196" i="2" s="1"/>
  <c r="X196" i="2"/>
  <c r="W196" i="2"/>
  <c r="AC195" i="2"/>
  <c r="AB195" i="2"/>
  <c r="AA195" i="2"/>
  <c r="Z195" i="2" a="1"/>
  <c r="Z195" i="2" s="1"/>
  <c r="Y195" i="2"/>
  <c r="Y195" i="2" a="1"/>
  <c r="X195" i="2"/>
  <c r="W195" i="2"/>
  <c r="AC194" i="2"/>
  <c r="AB194" i="2"/>
  <c r="AA194" i="2"/>
  <c r="Z194" i="2" a="1"/>
  <c r="Z194" i="2" s="1"/>
  <c r="Y194" i="2" a="1"/>
  <c r="Y194" i="2" s="1"/>
  <c r="X194" i="2"/>
  <c r="W194" i="2"/>
  <c r="AC193" i="2"/>
  <c r="AB193" i="2"/>
  <c r="AA193" i="2"/>
  <c r="Z193" i="2"/>
  <c r="Z193" i="2" a="1"/>
  <c r="Y193" i="2" a="1"/>
  <c r="Y193" i="2" s="1"/>
  <c r="X193" i="2"/>
  <c r="W193" i="2"/>
  <c r="AC192" i="2"/>
  <c r="AB192" i="2"/>
  <c r="AA192" i="2"/>
  <c r="Z192" i="2" a="1"/>
  <c r="Z192" i="2" s="1"/>
  <c r="Y192" i="2" a="1"/>
  <c r="Y192" i="2" s="1"/>
  <c r="X192" i="2"/>
  <c r="W192" i="2"/>
  <c r="AC191" i="2"/>
  <c r="AB191" i="2"/>
  <c r="AA191" i="2"/>
  <c r="Z191" i="2" a="1"/>
  <c r="Z191" i="2" s="1"/>
  <c r="Y191" i="2"/>
  <c r="Y191" i="2" a="1"/>
  <c r="X191" i="2"/>
  <c r="W191" i="2"/>
  <c r="AC190" i="2"/>
  <c r="AB190" i="2"/>
  <c r="AA190" i="2"/>
  <c r="Z190" i="2" a="1"/>
  <c r="Z190" i="2" s="1"/>
  <c r="Y190" i="2" a="1"/>
  <c r="Y190" i="2" s="1"/>
  <c r="X190" i="2"/>
  <c r="W190" i="2"/>
  <c r="AC189" i="2"/>
  <c r="AB189" i="2"/>
  <c r="AA189" i="2"/>
  <c r="Z189" i="2"/>
  <c r="Z189" i="2" a="1"/>
  <c r="Y189" i="2" a="1"/>
  <c r="Y189" i="2" s="1"/>
  <c r="X189" i="2"/>
  <c r="W189" i="2"/>
  <c r="AC188" i="2"/>
  <c r="AB188" i="2"/>
  <c r="AA188" i="2"/>
  <c r="Z188" i="2" a="1"/>
  <c r="Z188" i="2" s="1"/>
  <c r="Y188" i="2" a="1"/>
  <c r="Y188" i="2" s="1"/>
  <c r="X188" i="2"/>
  <c r="W188" i="2"/>
  <c r="AC187" i="2"/>
  <c r="AB187" i="2"/>
  <c r="AA187" i="2"/>
  <c r="Z187" i="2" a="1"/>
  <c r="Z187" i="2" s="1"/>
  <c r="Y187" i="2"/>
  <c r="Y187" i="2" a="1"/>
  <c r="X187" i="2"/>
  <c r="W187" i="2"/>
  <c r="AC186" i="2"/>
  <c r="AB186" i="2"/>
  <c r="AA186" i="2"/>
  <c r="Z186" i="2" a="1"/>
  <c r="Z186" i="2" s="1"/>
  <c r="Y186" i="2" a="1"/>
  <c r="Y186" i="2" s="1"/>
  <c r="X186" i="2"/>
  <c r="W186" i="2"/>
  <c r="AC185" i="2"/>
  <c r="AB185" i="2"/>
  <c r="AA185" i="2"/>
  <c r="Z185" i="2"/>
  <c r="Z185" i="2" a="1"/>
  <c r="Y185" i="2" a="1"/>
  <c r="Y185" i="2" s="1"/>
  <c r="X185" i="2"/>
  <c r="W185" i="2"/>
  <c r="AC184" i="2"/>
  <c r="AB184" i="2"/>
  <c r="AA184" i="2"/>
  <c r="Z184" i="2" a="1"/>
  <c r="Z184" i="2" s="1"/>
  <c r="Y184" i="2" a="1"/>
  <c r="Y184" i="2" s="1"/>
  <c r="X184" i="2"/>
  <c r="W184" i="2"/>
  <c r="AC183" i="2"/>
  <c r="AB183" i="2"/>
  <c r="AA183" i="2"/>
  <c r="Z183" i="2" a="1"/>
  <c r="Z183" i="2" s="1"/>
  <c r="Y183" i="2"/>
  <c r="Y183" i="2" a="1"/>
  <c r="X183" i="2"/>
  <c r="W183" i="2"/>
  <c r="AC182" i="2"/>
  <c r="AB182" i="2"/>
  <c r="AA182" i="2"/>
  <c r="Z182" i="2" a="1"/>
  <c r="Z182" i="2" s="1"/>
  <c r="Y182" i="2" a="1"/>
  <c r="Y182" i="2" s="1"/>
  <c r="X182" i="2"/>
  <c r="W182" i="2"/>
  <c r="AC181" i="2"/>
  <c r="AB181" i="2"/>
  <c r="AA181" i="2"/>
  <c r="Z181" i="2"/>
  <c r="Z181" i="2" a="1"/>
  <c r="Y181" i="2" a="1"/>
  <c r="Y181" i="2" s="1"/>
  <c r="X181" i="2"/>
  <c r="W181" i="2"/>
  <c r="AC180" i="2"/>
  <c r="AB180" i="2"/>
  <c r="AA180" i="2"/>
  <c r="Z180" i="2" a="1"/>
  <c r="Z180" i="2" s="1"/>
  <c r="Y180" i="2" a="1"/>
  <c r="Y180" i="2" s="1"/>
  <c r="X180" i="2"/>
  <c r="W180" i="2"/>
  <c r="AC179" i="2"/>
  <c r="AB179" i="2"/>
  <c r="AA179" i="2"/>
  <c r="Z179" i="2" a="1"/>
  <c r="Z179" i="2" s="1"/>
  <c r="Y179" i="2"/>
  <c r="Y179" i="2" a="1"/>
  <c r="X179" i="2"/>
  <c r="W179" i="2"/>
  <c r="AC178" i="2"/>
  <c r="AB178" i="2"/>
  <c r="AA178" i="2"/>
  <c r="Z178" i="2" a="1"/>
  <c r="Z178" i="2" s="1"/>
  <c r="Y178" i="2" a="1"/>
  <c r="Y178" i="2" s="1"/>
  <c r="X178" i="2"/>
  <c r="W178" i="2"/>
  <c r="AC177" i="2"/>
  <c r="AB177" i="2"/>
  <c r="AA177" i="2"/>
  <c r="Z177" i="2"/>
  <c r="Z177" i="2" a="1"/>
  <c r="Y177" i="2" a="1"/>
  <c r="Y177" i="2" s="1"/>
  <c r="X177" i="2"/>
  <c r="W177" i="2"/>
  <c r="AC176" i="2"/>
  <c r="AB176" i="2"/>
  <c r="AA176" i="2"/>
  <c r="Z176" i="2" a="1"/>
  <c r="Z176" i="2" s="1"/>
  <c r="Y176" i="2" a="1"/>
  <c r="Y176" i="2" s="1"/>
  <c r="X176" i="2"/>
  <c r="W176" i="2"/>
  <c r="AC175" i="2"/>
  <c r="AB175" i="2"/>
  <c r="AA175" i="2"/>
  <c r="Z175" i="2" a="1"/>
  <c r="Z175" i="2" s="1"/>
  <c r="Y175" i="2"/>
  <c r="Y175" i="2" a="1"/>
  <c r="X175" i="2"/>
  <c r="W175" i="2"/>
  <c r="AC174" i="2"/>
  <c r="AB174" i="2"/>
  <c r="AA174" i="2"/>
  <c r="Z174" i="2" a="1"/>
  <c r="Z174" i="2" s="1"/>
  <c r="Y174" i="2" a="1"/>
  <c r="Y174" i="2" s="1"/>
  <c r="X174" i="2"/>
  <c r="W174" i="2"/>
  <c r="AC173" i="2"/>
  <c r="AB173" i="2"/>
  <c r="AA173" i="2"/>
  <c r="Z173" i="2"/>
  <c r="Z173" i="2" a="1"/>
  <c r="Y173" i="2" a="1"/>
  <c r="Y173" i="2" s="1"/>
  <c r="X173" i="2"/>
  <c r="W173" i="2"/>
  <c r="AC172" i="2"/>
  <c r="AB172" i="2"/>
  <c r="AA172" i="2"/>
  <c r="Z172" i="2" a="1"/>
  <c r="Z172" i="2" s="1"/>
  <c r="Y172" i="2" a="1"/>
  <c r="Y172" i="2" s="1"/>
  <c r="X172" i="2"/>
  <c r="W172" i="2"/>
  <c r="AC171" i="2"/>
  <c r="AB171" i="2"/>
  <c r="AA171" i="2"/>
  <c r="Z171" i="2" a="1"/>
  <c r="Z171" i="2" s="1"/>
  <c r="Y171" i="2"/>
  <c r="Y171" i="2" a="1"/>
  <c r="X171" i="2"/>
  <c r="W171" i="2"/>
  <c r="AC170" i="2"/>
  <c r="AB170" i="2"/>
  <c r="AA170" i="2"/>
  <c r="Z170" i="2" a="1"/>
  <c r="Z170" i="2" s="1"/>
  <c r="Y170" i="2" a="1"/>
  <c r="Y170" i="2" s="1"/>
  <c r="X170" i="2"/>
  <c r="W170" i="2"/>
  <c r="AC169" i="2"/>
  <c r="AB169" i="2"/>
  <c r="AA169" i="2"/>
  <c r="Z169" i="2"/>
  <c r="Z169" i="2" a="1"/>
  <c r="Y169" i="2" a="1"/>
  <c r="Y169" i="2" s="1"/>
  <c r="X169" i="2"/>
  <c r="W169" i="2"/>
  <c r="AC168" i="2"/>
  <c r="AB168" i="2"/>
  <c r="AA168" i="2"/>
  <c r="Z168" i="2" a="1"/>
  <c r="Z168" i="2" s="1"/>
  <c r="Y168" i="2" a="1"/>
  <c r="Y168" i="2" s="1"/>
  <c r="X168" i="2"/>
  <c r="W168" i="2"/>
  <c r="AC167" i="2"/>
  <c r="AB167" i="2"/>
  <c r="AA167" i="2"/>
  <c r="Z167" i="2" a="1"/>
  <c r="Z167" i="2" s="1"/>
  <c r="Y167" i="2"/>
  <c r="Y167" i="2" a="1"/>
  <c r="X167" i="2"/>
  <c r="W167" i="2"/>
  <c r="AC166" i="2"/>
  <c r="AB166" i="2"/>
  <c r="AA166" i="2"/>
  <c r="Z166" i="2" a="1"/>
  <c r="Z166" i="2" s="1"/>
  <c r="Y166" i="2" a="1"/>
  <c r="Y166" i="2" s="1"/>
  <c r="X166" i="2"/>
  <c r="W166" i="2"/>
  <c r="AC165" i="2"/>
  <c r="AB165" i="2"/>
  <c r="AA165" i="2"/>
  <c r="Z165" i="2"/>
  <c r="Z165" i="2" a="1"/>
  <c r="Y165" i="2" a="1"/>
  <c r="Y165" i="2" s="1"/>
  <c r="X165" i="2"/>
  <c r="W165" i="2"/>
  <c r="AC164" i="2"/>
  <c r="AB164" i="2"/>
  <c r="AA164" i="2"/>
  <c r="Z164" i="2" a="1"/>
  <c r="Z164" i="2" s="1"/>
  <c r="Y164" i="2" a="1"/>
  <c r="Y164" i="2" s="1"/>
  <c r="X164" i="2"/>
  <c r="W164" i="2"/>
  <c r="AC163" i="2"/>
  <c r="AB163" i="2"/>
  <c r="AA163" i="2"/>
  <c r="Z163" i="2"/>
  <c r="Z163" i="2" a="1"/>
  <c r="Y163" i="2"/>
  <c r="Y163" i="2" a="1"/>
  <c r="X163" i="2"/>
  <c r="W163" i="2"/>
  <c r="AC162" i="2"/>
  <c r="AB162" i="2"/>
  <c r="AA162" i="2"/>
  <c r="Z162" i="2" a="1"/>
  <c r="Z162" i="2" s="1"/>
  <c r="Y162" i="2" a="1"/>
  <c r="Y162" i="2" s="1"/>
  <c r="X162" i="2"/>
  <c r="W162" i="2"/>
  <c r="AC161" i="2"/>
  <c r="AB161" i="2"/>
  <c r="AA161" i="2"/>
  <c r="Z161" i="2"/>
  <c r="Z161" i="2" a="1"/>
  <c r="Y161" i="2" a="1"/>
  <c r="Y161" i="2" s="1"/>
  <c r="X161" i="2"/>
  <c r="W161" i="2"/>
  <c r="AC160" i="2"/>
  <c r="AB160" i="2"/>
  <c r="AA160" i="2"/>
  <c r="Z160" i="2" a="1"/>
  <c r="Z160" i="2" s="1"/>
  <c r="Y160" i="2" a="1"/>
  <c r="Y160" i="2" s="1"/>
  <c r="X160" i="2"/>
  <c r="W160" i="2"/>
  <c r="AC159" i="2"/>
  <c r="AB159" i="2"/>
  <c r="AA159" i="2"/>
  <c r="Z159" i="2" a="1"/>
  <c r="Z159" i="2" s="1"/>
  <c r="Y159" i="2"/>
  <c r="Y159" i="2" a="1"/>
  <c r="X159" i="2"/>
  <c r="W159" i="2"/>
  <c r="AC158" i="2"/>
  <c r="AB158" i="2"/>
  <c r="AA158" i="2"/>
  <c r="Z158" i="2" a="1"/>
  <c r="Z158" i="2" s="1"/>
  <c r="Y158" i="2" a="1"/>
  <c r="Y158" i="2" s="1"/>
  <c r="X158" i="2"/>
  <c r="W158" i="2"/>
  <c r="AC157" i="2"/>
  <c r="AB157" i="2"/>
  <c r="AA157" i="2"/>
  <c r="Z157" i="2"/>
  <c r="Z157" i="2" a="1"/>
  <c r="Y157" i="2" a="1"/>
  <c r="Y157" i="2" s="1"/>
  <c r="X157" i="2"/>
  <c r="W157" i="2"/>
  <c r="AC156" i="2"/>
  <c r="AB156" i="2"/>
  <c r="AA156" i="2"/>
  <c r="Z156" i="2" a="1"/>
  <c r="Z156" i="2" s="1"/>
  <c r="Y156" i="2" a="1"/>
  <c r="Y156" i="2" s="1"/>
  <c r="X156" i="2"/>
  <c r="W156" i="2"/>
  <c r="AC155" i="2"/>
  <c r="AB155" i="2"/>
  <c r="AA155" i="2"/>
  <c r="Z155" i="2"/>
  <c r="Z155" i="2" a="1"/>
  <c r="Y155" i="2"/>
  <c r="Y155" i="2" a="1"/>
  <c r="X155" i="2"/>
  <c r="W155" i="2"/>
  <c r="AC154" i="2"/>
  <c r="AB154" i="2"/>
  <c r="AA154" i="2"/>
  <c r="Z154" i="2" a="1"/>
  <c r="Z154" i="2" s="1"/>
  <c r="Y154" i="2" a="1"/>
  <c r="Y154" i="2" s="1"/>
  <c r="X154" i="2"/>
  <c r="W154" i="2"/>
  <c r="AC153" i="2"/>
  <c r="AB153" i="2"/>
  <c r="AA153" i="2"/>
  <c r="Z153" i="2"/>
  <c r="Z153" i="2" a="1"/>
  <c r="Y153" i="2" a="1"/>
  <c r="Y153" i="2" s="1"/>
  <c r="X153" i="2"/>
  <c r="W153" i="2"/>
  <c r="AC152" i="2"/>
  <c r="AB152" i="2"/>
  <c r="AA152" i="2"/>
  <c r="Z152" i="2" a="1"/>
  <c r="Z152" i="2" s="1"/>
  <c r="Y152" i="2" a="1"/>
  <c r="Y152" i="2" s="1"/>
  <c r="X152" i="2"/>
  <c r="W152" i="2"/>
  <c r="AC151" i="2"/>
  <c r="AB151" i="2"/>
  <c r="AA151" i="2"/>
  <c r="Z151" i="2" a="1"/>
  <c r="Z151" i="2" s="1"/>
  <c r="Y151" i="2"/>
  <c r="Y151" i="2" a="1"/>
  <c r="X151" i="2"/>
  <c r="W151" i="2"/>
  <c r="AC150" i="2"/>
  <c r="AB150" i="2"/>
  <c r="AA150" i="2"/>
  <c r="Z150" i="2" a="1"/>
  <c r="Z150" i="2" s="1"/>
  <c r="Y150" i="2" a="1"/>
  <c r="Y150" i="2" s="1"/>
  <c r="X150" i="2"/>
  <c r="W150" i="2"/>
  <c r="AC149" i="2"/>
  <c r="AB149" i="2"/>
  <c r="AA149" i="2"/>
  <c r="Z149" i="2"/>
  <c r="Z149" i="2" a="1"/>
  <c r="Y149" i="2" a="1"/>
  <c r="Y149" i="2" s="1"/>
  <c r="X149" i="2"/>
  <c r="W149" i="2"/>
  <c r="AC148" i="2"/>
  <c r="AB148" i="2"/>
  <c r="AA148" i="2"/>
  <c r="Z148" i="2" a="1"/>
  <c r="Z148" i="2" s="1"/>
  <c r="Y148" i="2" a="1"/>
  <c r="Y148" i="2" s="1"/>
  <c r="X148" i="2"/>
  <c r="W148" i="2"/>
  <c r="AC147" i="2"/>
  <c r="AB147" i="2"/>
  <c r="AA147" i="2"/>
  <c r="Z147" i="2"/>
  <c r="Z147" i="2" a="1"/>
  <c r="Y147" i="2"/>
  <c r="Y147" i="2" a="1"/>
  <c r="X147" i="2"/>
  <c r="W147" i="2"/>
  <c r="AC146" i="2"/>
  <c r="AB146" i="2"/>
  <c r="AA146" i="2"/>
  <c r="Z146" i="2" a="1"/>
  <c r="Z146" i="2" s="1"/>
  <c r="Y146" i="2" a="1"/>
  <c r="Y146" i="2" s="1"/>
  <c r="X146" i="2"/>
  <c r="W146" i="2"/>
  <c r="AC145" i="2"/>
  <c r="AB145" i="2"/>
  <c r="AA145" i="2"/>
  <c r="Z145" i="2"/>
  <c r="Z145" i="2" a="1"/>
  <c r="Y145" i="2" a="1"/>
  <c r="Y145" i="2" s="1"/>
  <c r="X145" i="2"/>
  <c r="W145" i="2"/>
  <c r="AC144" i="2"/>
  <c r="AB144" i="2"/>
  <c r="AA144" i="2"/>
  <c r="Z144" i="2" a="1"/>
  <c r="Z144" i="2" s="1"/>
  <c r="Y144" i="2" a="1"/>
  <c r="Y144" i="2" s="1"/>
  <c r="X144" i="2"/>
  <c r="W144" i="2"/>
  <c r="AC143" i="2"/>
  <c r="AB143" i="2"/>
  <c r="AA143" i="2"/>
  <c r="Z143" i="2" a="1"/>
  <c r="Z143" i="2" s="1"/>
  <c r="Y143" i="2"/>
  <c r="Y143" i="2" a="1"/>
  <c r="X143" i="2"/>
  <c r="W143" i="2"/>
  <c r="AC142" i="2"/>
  <c r="AB142" i="2"/>
  <c r="AA142" i="2"/>
  <c r="Z142" i="2" a="1"/>
  <c r="Z142" i="2" s="1"/>
  <c r="Y142" i="2" a="1"/>
  <c r="Y142" i="2" s="1"/>
  <c r="X142" i="2"/>
  <c r="W142" i="2"/>
  <c r="AC141" i="2"/>
  <c r="AB141" i="2"/>
  <c r="AA141" i="2"/>
  <c r="Z141" i="2"/>
  <c r="Z141" i="2" a="1"/>
  <c r="Y141" i="2" a="1"/>
  <c r="Y141" i="2" s="1"/>
  <c r="X141" i="2"/>
  <c r="W141" i="2"/>
  <c r="AC140" i="2"/>
  <c r="AB140" i="2"/>
  <c r="AA140" i="2"/>
  <c r="Z140" i="2" a="1"/>
  <c r="Z140" i="2" s="1"/>
  <c r="Y140" i="2" a="1"/>
  <c r="Y140" i="2" s="1"/>
  <c r="X140" i="2"/>
  <c r="W140" i="2"/>
  <c r="AC139" i="2"/>
  <c r="AB139" i="2"/>
  <c r="AA139" i="2"/>
  <c r="Z139" i="2"/>
  <c r="Z139" i="2" a="1"/>
  <c r="Y139" i="2"/>
  <c r="Y139" i="2" a="1"/>
  <c r="X139" i="2"/>
  <c r="W139" i="2"/>
  <c r="AC138" i="2"/>
  <c r="AB138" i="2"/>
  <c r="AA138" i="2"/>
  <c r="Z138" i="2" a="1"/>
  <c r="Z138" i="2" s="1"/>
  <c r="Y138" i="2" a="1"/>
  <c r="Y138" i="2" s="1"/>
  <c r="X138" i="2"/>
  <c r="W138" i="2"/>
  <c r="AC137" i="2"/>
  <c r="AB137" i="2"/>
  <c r="AA137" i="2"/>
  <c r="Z137" i="2"/>
  <c r="Z137" i="2" a="1"/>
  <c r="Y137" i="2" a="1"/>
  <c r="Y137" i="2" s="1"/>
  <c r="X137" i="2"/>
  <c r="W137" i="2"/>
  <c r="AC136" i="2"/>
  <c r="AB136" i="2"/>
  <c r="AA136" i="2"/>
  <c r="Z136" i="2" a="1"/>
  <c r="Z136" i="2" s="1"/>
  <c r="Y136" i="2" a="1"/>
  <c r="Y136" i="2" s="1"/>
  <c r="X136" i="2"/>
  <c r="W136" i="2"/>
  <c r="AC135" i="2"/>
  <c r="AB135" i="2"/>
  <c r="AA135" i="2"/>
  <c r="Z135" i="2" a="1"/>
  <c r="Z135" i="2" s="1"/>
  <c r="Y135" i="2"/>
  <c r="Y135" i="2" a="1"/>
  <c r="X135" i="2"/>
  <c r="W135" i="2"/>
  <c r="AC134" i="2"/>
  <c r="AB134" i="2"/>
  <c r="AA134" i="2"/>
  <c r="Z134" i="2" a="1"/>
  <c r="Z134" i="2" s="1"/>
  <c r="Y134" i="2" a="1"/>
  <c r="Y134" i="2" s="1"/>
  <c r="X134" i="2"/>
  <c r="W134" i="2"/>
  <c r="AC133" i="2"/>
  <c r="AB133" i="2"/>
  <c r="AA133" i="2"/>
  <c r="Z133" i="2"/>
  <c r="Z133" i="2" a="1"/>
  <c r="Y133" i="2" a="1"/>
  <c r="Y133" i="2" s="1"/>
  <c r="X133" i="2"/>
  <c r="W133" i="2"/>
  <c r="AC132" i="2"/>
  <c r="AB132" i="2"/>
  <c r="AA132" i="2"/>
  <c r="Z132" i="2" a="1"/>
  <c r="Z132" i="2" s="1"/>
  <c r="Y132" i="2" a="1"/>
  <c r="Y132" i="2" s="1"/>
  <c r="X132" i="2"/>
  <c r="W132" i="2"/>
  <c r="AC131" i="2"/>
  <c r="AB131" i="2"/>
  <c r="AA131" i="2"/>
  <c r="Z131" i="2"/>
  <c r="Z131" i="2" a="1"/>
  <c r="Y131" i="2"/>
  <c r="Y131" i="2" a="1"/>
  <c r="X131" i="2"/>
  <c r="W131" i="2"/>
  <c r="AC130" i="2"/>
  <c r="AB130" i="2"/>
  <c r="AA130" i="2"/>
  <c r="Z130" i="2" a="1"/>
  <c r="Z130" i="2" s="1"/>
  <c r="Y130" i="2" a="1"/>
  <c r="Y130" i="2" s="1"/>
  <c r="X130" i="2"/>
  <c r="W130" i="2"/>
  <c r="AC129" i="2"/>
  <c r="AB129" i="2"/>
  <c r="AA129" i="2"/>
  <c r="Z129" i="2" a="1"/>
  <c r="Z129" i="2" s="1"/>
  <c r="Y129" i="2" a="1"/>
  <c r="Y129" i="2" s="1"/>
  <c r="X129" i="2"/>
  <c r="W129" i="2"/>
  <c r="AC128" i="2"/>
  <c r="AB128" i="2"/>
  <c r="AA128" i="2"/>
  <c r="Z128" i="2" a="1"/>
  <c r="Z128" i="2" s="1"/>
  <c r="Y128" i="2"/>
  <c r="Y128" i="2" a="1"/>
  <c r="X128" i="2"/>
  <c r="W128" i="2"/>
  <c r="AC127" i="2"/>
  <c r="AB127" i="2"/>
  <c r="AA127" i="2"/>
  <c r="Z127" i="2" a="1"/>
  <c r="Z127" i="2" s="1"/>
  <c r="Y127" i="2" a="1"/>
  <c r="Y127" i="2" s="1"/>
  <c r="X127" i="2"/>
  <c r="W127" i="2"/>
  <c r="AC126" i="2"/>
  <c r="AB126" i="2"/>
  <c r="AA126" i="2"/>
  <c r="Z126" i="2"/>
  <c r="Z126" i="2" a="1"/>
  <c r="Y126" i="2" a="1"/>
  <c r="Y126" i="2" s="1"/>
  <c r="X126" i="2"/>
  <c r="W126" i="2"/>
  <c r="AC125" i="2"/>
  <c r="AB125" i="2"/>
  <c r="AA125" i="2"/>
  <c r="Z125" i="2" a="1"/>
  <c r="Z125" i="2" s="1"/>
  <c r="Y125" i="2" a="1"/>
  <c r="Y125" i="2" s="1"/>
  <c r="X125" i="2"/>
  <c r="W125" i="2"/>
  <c r="AC124" i="2"/>
  <c r="AB124" i="2"/>
  <c r="AA124" i="2"/>
  <c r="Z124" i="2" a="1"/>
  <c r="Z124" i="2" s="1"/>
  <c r="Y124" i="2"/>
  <c r="Y124" i="2" a="1"/>
  <c r="X124" i="2"/>
  <c r="W124" i="2"/>
  <c r="AC123" i="2"/>
  <c r="AB123" i="2"/>
  <c r="AA123" i="2"/>
  <c r="Z123" i="2" a="1"/>
  <c r="Z123" i="2" s="1"/>
  <c r="Y123" i="2" a="1"/>
  <c r="Y123" i="2" s="1"/>
  <c r="X123" i="2"/>
  <c r="W123" i="2"/>
  <c r="AC122" i="2"/>
  <c r="AB122" i="2"/>
  <c r="AA122" i="2"/>
  <c r="Z122" i="2"/>
  <c r="Z122" i="2" a="1"/>
  <c r="Y122" i="2" a="1"/>
  <c r="Y122" i="2" s="1"/>
  <c r="X122" i="2"/>
  <c r="W122" i="2"/>
  <c r="AC121" i="2"/>
  <c r="AB121" i="2"/>
  <c r="AA121" i="2"/>
  <c r="Z121" i="2" a="1"/>
  <c r="Z121" i="2" s="1"/>
  <c r="Y121" i="2" a="1"/>
  <c r="Y121" i="2" s="1"/>
  <c r="X121" i="2"/>
  <c r="W121" i="2"/>
  <c r="AC120" i="2"/>
  <c r="AB120" i="2"/>
  <c r="AA120" i="2"/>
  <c r="Z120" i="2" a="1"/>
  <c r="Z120" i="2" s="1"/>
  <c r="Y120" i="2"/>
  <c r="Y120" i="2" a="1"/>
  <c r="X120" i="2"/>
  <c r="W120" i="2"/>
  <c r="AC119" i="2"/>
  <c r="AB119" i="2"/>
  <c r="AA119" i="2"/>
  <c r="Z119" i="2" a="1"/>
  <c r="Z119" i="2" s="1"/>
  <c r="Y119" i="2" a="1"/>
  <c r="Y119" i="2" s="1"/>
  <c r="X119" i="2"/>
  <c r="W119" i="2"/>
  <c r="AC118" i="2"/>
  <c r="AB118" i="2"/>
  <c r="AA118" i="2"/>
  <c r="Z118" i="2"/>
  <c r="Z118" i="2" a="1"/>
  <c r="Y118" i="2" a="1"/>
  <c r="Y118" i="2" s="1"/>
  <c r="X118" i="2"/>
  <c r="W118" i="2"/>
  <c r="AC117" i="2"/>
  <c r="AB117" i="2"/>
  <c r="AA117" i="2"/>
  <c r="Z117" i="2" a="1"/>
  <c r="Z117" i="2" s="1"/>
  <c r="Y117" i="2" a="1"/>
  <c r="Y117" i="2" s="1"/>
  <c r="X117" i="2"/>
  <c r="W117" i="2"/>
  <c r="AC116" i="2"/>
  <c r="AB116" i="2"/>
  <c r="AA116" i="2"/>
  <c r="Z116" i="2" a="1"/>
  <c r="Z116" i="2" s="1"/>
  <c r="Y116" i="2"/>
  <c r="Y116" i="2" a="1"/>
  <c r="X116" i="2"/>
  <c r="W116" i="2"/>
  <c r="AC115" i="2"/>
  <c r="AB115" i="2"/>
  <c r="AA115" i="2"/>
  <c r="Z115" i="2" a="1"/>
  <c r="Z115" i="2" s="1"/>
  <c r="Y115" i="2" a="1"/>
  <c r="Y115" i="2" s="1"/>
  <c r="X115" i="2"/>
  <c r="W115" i="2"/>
  <c r="AC114" i="2"/>
  <c r="AB114" i="2"/>
  <c r="AA114" i="2"/>
  <c r="Z114" i="2"/>
  <c r="Z114" i="2" a="1"/>
  <c r="Y114" i="2" a="1"/>
  <c r="Y114" i="2" s="1"/>
  <c r="X114" i="2"/>
  <c r="W114" i="2"/>
  <c r="AC113" i="2"/>
  <c r="AB113" i="2"/>
  <c r="AA113" i="2"/>
  <c r="Z113" i="2" a="1"/>
  <c r="Z113" i="2" s="1"/>
  <c r="Y113" i="2" a="1"/>
  <c r="Y113" i="2" s="1"/>
  <c r="X113" i="2"/>
  <c r="W113" i="2"/>
  <c r="AC112" i="2"/>
  <c r="AB112" i="2"/>
  <c r="AA112" i="2"/>
  <c r="Z112" i="2" a="1"/>
  <c r="Z112" i="2" s="1"/>
  <c r="Y112" i="2"/>
  <c r="Y112" i="2" a="1"/>
  <c r="X112" i="2"/>
  <c r="W112" i="2"/>
  <c r="AC111" i="2"/>
  <c r="AB111" i="2"/>
  <c r="AA111" i="2"/>
  <c r="Z111" i="2" a="1"/>
  <c r="Z111" i="2" s="1"/>
  <c r="Y111" i="2" a="1"/>
  <c r="Y111" i="2" s="1"/>
  <c r="X111" i="2"/>
  <c r="W111" i="2"/>
  <c r="AC110" i="2"/>
  <c r="AB110" i="2"/>
  <c r="AA110" i="2"/>
  <c r="Z110" i="2"/>
  <c r="Z110" i="2" a="1"/>
  <c r="Y110" i="2" a="1"/>
  <c r="Y110" i="2" s="1"/>
  <c r="X110" i="2"/>
  <c r="W110" i="2"/>
  <c r="AC109" i="2"/>
  <c r="AB109" i="2"/>
  <c r="AA109" i="2"/>
  <c r="Z109" i="2" a="1"/>
  <c r="Z109" i="2" s="1"/>
  <c r="Y109" i="2" a="1"/>
  <c r="Y109" i="2" s="1"/>
  <c r="X109" i="2"/>
  <c r="W109" i="2"/>
  <c r="AC108" i="2"/>
  <c r="AB108" i="2"/>
  <c r="AA108" i="2"/>
  <c r="Z108" i="2" a="1"/>
  <c r="Z108" i="2" s="1"/>
  <c r="Y108" i="2"/>
  <c r="Y108" i="2" a="1"/>
  <c r="X108" i="2"/>
  <c r="W108" i="2"/>
  <c r="AC107" i="2"/>
  <c r="AB107" i="2"/>
  <c r="AA107" i="2"/>
  <c r="Z107" i="2" a="1"/>
  <c r="Z107" i="2" s="1"/>
  <c r="Y107" i="2" a="1"/>
  <c r="Y107" i="2" s="1"/>
  <c r="X107" i="2"/>
  <c r="W107" i="2"/>
  <c r="AC106" i="2"/>
  <c r="AB106" i="2"/>
  <c r="AA106" i="2"/>
  <c r="Z106" i="2"/>
  <c r="Z106" i="2" a="1"/>
  <c r="Y106" i="2" a="1"/>
  <c r="Y106" i="2" s="1"/>
  <c r="X106" i="2"/>
  <c r="W106" i="2"/>
  <c r="AC105" i="2"/>
  <c r="AB105" i="2"/>
  <c r="AA105" i="2"/>
  <c r="Z105" i="2" a="1"/>
  <c r="Z105" i="2" s="1"/>
  <c r="Y105" i="2" a="1"/>
  <c r="Y105" i="2" s="1"/>
  <c r="X105" i="2"/>
  <c r="W105" i="2"/>
  <c r="AC104" i="2"/>
  <c r="AB104" i="2"/>
  <c r="AA104" i="2"/>
  <c r="Z104" i="2" a="1"/>
  <c r="Z104" i="2" s="1"/>
  <c r="Y104" i="2"/>
  <c r="Y104" i="2" a="1"/>
  <c r="X104" i="2"/>
  <c r="W104" i="2"/>
  <c r="AC103" i="2"/>
  <c r="AB103" i="2"/>
  <c r="AA103" i="2"/>
  <c r="Z103" i="2" a="1"/>
  <c r="Z103" i="2" s="1"/>
  <c r="Y103" i="2" a="1"/>
  <c r="Y103" i="2" s="1"/>
  <c r="X103" i="2"/>
  <c r="W103" i="2"/>
  <c r="AC102" i="2"/>
  <c r="AB102" i="2"/>
  <c r="AA102" i="2"/>
  <c r="Z102" i="2"/>
  <c r="Z102" i="2" a="1"/>
  <c r="Y102" i="2" a="1"/>
  <c r="Y102" i="2" s="1"/>
  <c r="X102" i="2"/>
  <c r="W102" i="2"/>
  <c r="AC101" i="2"/>
  <c r="AB101" i="2"/>
  <c r="AA101" i="2"/>
  <c r="Z101" i="2" a="1"/>
  <c r="Z101" i="2" s="1"/>
  <c r="Y101" i="2" a="1"/>
  <c r="Y101" i="2" s="1"/>
  <c r="X101" i="2"/>
  <c r="W101" i="2"/>
  <c r="AC100" i="2"/>
  <c r="AB100" i="2"/>
  <c r="AA100" i="2"/>
  <c r="Z100" i="2" a="1"/>
  <c r="Z100" i="2" s="1"/>
  <c r="Y100" i="2"/>
  <c r="Y100" i="2" a="1"/>
  <c r="X100" i="2"/>
  <c r="W100" i="2"/>
  <c r="AC99" i="2"/>
  <c r="AB99" i="2"/>
  <c r="AA99" i="2"/>
  <c r="Z99" i="2" a="1"/>
  <c r="Z99" i="2" s="1"/>
  <c r="Y99" i="2" a="1"/>
  <c r="Y99" i="2" s="1"/>
  <c r="X99" i="2"/>
  <c r="W99" i="2"/>
  <c r="AC98" i="2"/>
  <c r="AB98" i="2"/>
  <c r="AA98" i="2"/>
  <c r="Z98" i="2"/>
  <c r="Z98" i="2" a="1"/>
  <c r="Y98" i="2" a="1"/>
  <c r="Y98" i="2" s="1"/>
  <c r="X98" i="2"/>
  <c r="W98" i="2"/>
  <c r="AC97" i="2"/>
  <c r="AB97" i="2"/>
  <c r="AA97" i="2"/>
  <c r="Z97" i="2" a="1"/>
  <c r="Z97" i="2" s="1"/>
  <c r="Y97" i="2" a="1"/>
  <c r="Y97" i="2" s="1"/>
  <c r="X97" i="2"/>
  <c r="W97" i="2"/>
  <c r="AC96" i="2"/>
  <c r="AB96" i="2"/>
  <c r="AA96" i="2"/>
  <c r="Z96" i="2" a="1"/>
  <c r="Z96" i="2" s="1"/>
  <c r="Y96" i="2"/>
  <c r="Y96" i="2" a="1"/>
  <c r="X96" i="2"/>
  <c r="W96" i="2"/>
  <c r="AC95" i="2"/>
  <c r="AB95" i="2"/>
  <c r="AA95" i="2"/>
  <c r="Z95" i="2" a="1"/>
  <c r="Z95" i="2" s="1"/>
  <c r="Y95" i="2" a="1"/>
  <c r="Y95" i="2" s="1"/>
  <c r="X95" i="2"/>
  <c r="W95" i="2"/>
  <c r="AC94" i="2"/>
  <c r="AB94" i="2"/>
  <c r="AA94" i="2"/>
  <c r="Z94" i="2"/>
  <c r="Z94" i="2" a="1"/>
  <c r="Y94" i="2" a="1"/>
  <c r="Y94" i="2" s="1"/>
  <c r="X94" i="2"/>
  <c r="W94" i="2"/>
  <c r="AC93" i="2"/>
  <c r="AB93" i="2"/>
  <c r="AA93" i="2"/>
  <c r="Z93" i="2" a="1"/>
  <c r="Z93" i="2" s="1"/>
  <c r="Y93" i="2" a="1"/>
  <c r="Y93" i="2" s="1"/>
  <c r="X93" i="2"/>
  <c r="W93" i="2"/>
  <c r="AC92" i="2"/>
  <c r="AB92" i="2"/>
  <c r="AA92" i="2"/>
  <c r="Z92" i="2" a="1"/>
  <c r="Z92" i="2" s="1"/>
  <c r="Y92" i="2"/>
  <c r="Y92" i="2" a="1"/>
  <c r="X92" i="2"/>
  <c r="W92" i="2"/>
  <c r="AC91" i="2"/>
  <c r="AB91" i="2"/>
  <c r="AA91" i="2"/>
  <c r="Z91" i="2" a="1"/>
  <c r="Z91" i="2" s="1"/>
  <c r="Y91" i="2" a="1"/>
  <c r="Y91" i="2" s="1"/>
  <c r="X91" i="2"/>
  <c r="W91" i="2"/>
  <c r="AC90" i="2"/>
  <c r="AB90" i="2"/>
  <c r="AA90" i="2"/>
  <c r="Z90" i="2"/>
  <c r="Z90" i="2" a="1"/>
  <c r="Y90" i="2" a="1"/>
  <c r="Y90" i="2" s="1"/>
  <c r="X90" i="2"/>
  <c r="W90" i="2"/>
  <c r="AC89" i="2"/>
  <c r="AB89" i="2"/>
  <c r="AA89" i="2"/>
  <c r="Z89" i="2" a="1"/>
  <c r="Z89" i="2" s="1"/>
  <c r="Y89" i="2" a="1"/>
  <c r="Y89" i="2" s="1"/>
  <c r="X89" i="2"/>
  <c r="W89" i="2"/>
  <c r="AC88" i="2"/>
  <c r="AB88" i="2"/>
  <c r="AA88" i="2"/>
  <c r="Z88" i="2" a="1"/>
  <c r="Z88" i="2" s="1"/>
  <c r="Y88" i="2"/>
  <c r="Y88" i="2" a="1"/>
  <c r="X88" i="2"/>
  <c r="W88" i="2"/>
  <c r="AC87" i="2"/>
  <c r="AB87" i="2"/>
  <c r="AA87" i="2"/>
  <c r="Z87" i="2" a="1"/>
  <c r="Z87" i="2" s="1"/>
  <c r="Y87" i="2" a="1"/>
  <c r="Y87" i="2" s="1"/>
  <c r="X87" i="2"/>
  <c r="W87" i="2"/>
  <c r="AC86" i="2"/>
  <c r="AB86" i="2"/>
  <c r="AA86" i="2"/>
  <c r="Z86" i="2"/>
  <c r="Z86" i="2" a="1"/>
  <c r="Y86" i="2" a="1"/>
  <c r="Y86" i="2" s="1"/>
  <c r="X86" i="2"/>
  <c r="W86" i="2"/>
  <c r="AC85" i="2"/>
  <c r="AB85" i="2"/>
  <c r="AA85" i="2"/>
  <c r="Z85" i="2" a="1"/>
  <c r="Z85" i="2" s="1"/>
  <c r="Y85" i="2" a="1"/>
  <c r="Y85" i="2" s="1"/>
  <c r="X85" i="2"/>
  <c r="W85" i="2"/>
  <c r="AC84" i="2"/>
  <c r="AB84" i="2"/>
  <c r="AA84" i="2"/>
  <c r="Z84" i="2" a="1"/>
  <c r="Z84" i="2" s="1"/>
  <c r="Y84" i="2"/>
  <c r="Y84" i="2" a="1"/>
  <c r="X84" i="2"/>
  <c r="W84" i="2"/>
  <c r="AC83" i="2"/>
  <c r="AB83" i="2"/>
  <c r="AA83" i="2"/>
  <c r="Z83" i="2" a="1"/>
  <c r="Z83" i="2" s="1"/>
  <c r="Y83" i="2" a="1"/>
  <c r="Y83" i="2" s="1"/>
  <c r="X83" i="2"/>
  <c r="W83" i="2"/>
  <c r="AC82" i="2"/>
  <c r="AB82" i="2"/>
  <c r="AA82" i="2"/>
  <c r="Z82" i="2"/>
  <c r="Z82" i="2" a="1"/>
  <c r="Y82" i="2" a="1"/>
  <c r="Y82" i="2" s="1"/>
  <c r="X82" i="2"/>
  <c r="W82" i="2"/>
  <c r="AC81" i="2"/>
  <c r="AB81" i="2"/>
  <c r="AA81" i="2"/>
  <c r="Z81" i="2" a="1"/>
  <c r="Z81" i="2" s="1"/>
  <c r="Y81" i="2" a="1"/>
  <c r="Y81" i="2" s="1"/>
  <c r="X81" i="2"/>
  <c r="W81" i="2"/>
  <c r="AC80" i="2"/>
  <c r="AB80" i="2"/>
  <c r="AA80" i="2"/>
  <c r="Z80" i="2" a="1"/>
  <c r="Z80" i="2" s="1"/>
  <c r="Y80" i="2"/>
  <c r="Y80" i="2" a="1"/>
  <c r="X80" i="2"/>
  <c r="W80" i="2"/>
  <c r="AC79" i="2"/>
  <c r="AB79" i="2"/>
  <c r="AA79" i="2"/>
  <c r="Z79" i="2" a="1"/>
  <c r="Z79" i="2" s="1"/>
  <c r="Y79" i="2" a="1"/>
  <c r="Y79" i="2" s="1"/>
  <c r="X79" i="2"/>
  <c r="W79" i="2"/>
  <c r="AC78" i="2"/>
  <c r="AB78" i="2"/>
  <c r="AA78" i="2"/>
  <c r="Z78" i="2"/>
  <c r="Z78" i="2" a="1"/>
  <c r="Y78" i="2" a="1"/>
  <c r="Y78" i="2" s="1"/>
  <c r="X78" i="2"/>
  <c r="W78" i="2"/>
  <c r="AC77" i="2"/>
  <c r="AB77" i="2"/>
  <c r="AA77" i="2"/>
  <c r="Z77" i="2" a="1"/>
  <c r="Z77" i="2" s="1"/>
  <c r="Y77" i="2" a="1"/>
  <c r="Y77" i="2" s="1"/>
  <c r="X77" i="2"/>
  <c r="W77" i="2"/>
  <c r="AC76" i="2"/>
  <c r="AB76" i="2"/>
  <c r="AA76" i="2"/>
  <c r="Z76" i="2" a="1"/>
  <c r="Z76" i="2" s="1"/>
  <c r="Y76" i="2"/>
  <c r="Y76" i="2" a="1"/>
  <c r="X76" i="2"/>
  <c r="W76" i="2"/>
  <c r="AC75" i="2"/>
  <c r="AB75" i="2"/>
  <c r="AA75" i="2"/>
  <c r="Z75" i="2" a="1"/>
  <c r="Z75" i="2" s="1"/>
  <c r="Y75" i="2" a="1"/>
  <c r="Y75" i="2" s="1"/>
  <c r="X75" i="2"/>
  <c r="W75" i="2"/>
  <c r="AC74" i="2"/>
  <c r="AB74" i="2"/>
  <c r="AA74" i="2"/>
  <c r="Z74" i="2"/>
  <c r="Z74" i="2" a="1"/>
  <c r="Y74" i="2" a="1"/>
  <c r="Y74" i="2" s="1"/>
  <c r="X74" i="2"/>
  <c r="W74" i="2"/>
  <c r="AC73" i="2"/>
  <c r="AB73" i="2"/>
  <c r="AA73" i="2"/>
  <c r="Z73" i="2" a="1"/>
  <c r="Z73" i="2" s="1"/>
  <c r="Y73" i="2" a="1"/>
  <c r="Y73" i="2" s="1"/>
  <c r="X73" i="2"/>
  <c r="W73" i="2"/>
  <c r="AC72" i="2"/>
  <c r="AB72" i="2"/>
  <c r="AA72" i="2"/>
  <c r="Z72" i="2" a="1"/>
  <c r="Z72" i="2" s="1"/>
  <c r="Y72" i="2"/>
  <c r="Y72" i="2" a="1"/>
  <c r="X72" i="2"/>
  <c r="W72" i="2"/>
  <c r="AC71" i="2"/>
  <c r="AB71" i="2"/>
  <c r="AA71" i="2"/>
  <c r="Z71" i="2" a="1"/>
  <c r="Z71" i="2" s="1"/>
  <c r="Y71" i="2" a="1"/>
  <c r="Y71" i="2" s="1"/>
  <c r="X71" i="2"/>
  <c r="W71" i="2"/>
  <c r="AC70" i="2"/>
  <c r="AB70" i="2"/>
  <c r="AA70" i="2"/>
  <c r="Z70" i="2"/>
  <c r="Z70" i="2" a="1"/>
  <c r="Y70" i="2" a="1"/>
  <c r="Y70" i="2" s="1"/>
  <c r="X70" i="2"/>
  <c r="W70" i="2"/>
  <c r="AC69" i="2"/>
  <c r="AB69" i="2"/>
  <c r="AA69" i="2"/>
  <c r="Z69" i="2" a="1"/>
  <c r="Z69" i="2" s="1"/>
  <c r="Y69" i="2" a="1"/>
  <c r="Y69" i="2" s="1"/>
  <c r="X69" i="2"/>
  <c r="W69" i="2"/>
  <c r="AC68" i="2"/>
  <c r="AB68" i="2"/>
  <c r="AA68" i="2"/>
  <c r="Z68" i="2" a="1"/>
  <c r="Z68" i="2" s="1"/>
  <c r="Y68" i="2"/>
  <c r="Y68" i="2" a="1"/>
  <c r="X68" i="2"/>
  <c r="W68" i="2"/>
  <c r="AC67" i="2"/>
  <c r="AB67" i="2"/>
  <c r="AA67" i="2"/>
  <c r="Z67" i="2" a="1"/>
  <c r="Z67" i="2" s="1"/>
  <c r="Y67" i="2" a="1"/>
  <c r="Y67" i="2" s="1"/>
  <c r="X67" i="2"/>
  <c r="W67" i="2"/>
  <c r="AC66" i="2"/>
  <c r="AB66" i="2"/>
  <c r="AA66" i="2"/>
  <c r="Z66" i="2"/>
  <c r="Z66" i="2" a="1"/>
  <c r="Y66" i="2" a="1"/>
  <c r="Y66" i="2" s="1"/>
  <c r="X66" i="2"/>
  <c r="W66" i="2"/>
  <c r="AC65" i="2"/>
  <c r="AB65" i="2"/>
  <c r="AA65" i="2"/>
  <c r="Z65" i="2" a="1"/>
  <c r="Z65" i="2" s="1"/>
  <c r="Y65" i="2" a="1"/>
  <c r="Y65" i="2" s="1"/>
  <c r="X65" i="2"/>
  <c r="W65" i="2"/>
  <c r="AC64" i="2"/>
  <c r="AB64" i="2"/>
  <c r="AA64" i="2"/>
  <c r="Z64" i="2" a="1"/>
  <c r="Z64" i="2" s="1"/>
  <c r="Y64" i="2"/>
  <c r="Y64" i="2" a="1"/>
  <c r="X64" i="2"/>
  <c r="W64" i="2"/>
  <c r="AC63" i="2"/>
  <c r="AB63" i="2"/>
  <c r="AA63" i="2"/>
  <c r="Z63" i="2" a="1"/>
  <c r="Z63" i="2" s="1"/>
  <c r="Y63" i="2" a="1"/>
  <c r="Y63" i="2" s="1"/>
  <c r="X63" i="2"/>
  <c r="W63" i="2"/>
  <c r="AC62" i="2"/>
  <c r="AB62" i="2"/>
  <c r="AA62" i="2"/>
  <c r="Z62" i="2"/>
  <c r="Z62" i="2" a="1"/>
  <c r="Y62" i="2" a="1"/>
  <c r="Y62" i="2" s="1"/>
  <c r="X62" i="2"/>
  <c r="W62" i="2"/>
  <c r="AC61" i="2"/>
  <c r="AB61" i="2"/>
  <c r="AA61" i="2"/>
  <c r="Z61" i="2" a="1"/>
  <c r="Z61" i="2" s="1"/>
  <c r="Y61" i="2" a="1"/>
  <c r="Y61" i="2" s="1"/>
  <c r="X61" i="2"/>
  <c r="W61" i="2"/>
  <c r="AC60" i="2"/>
  <c r="AB60" i="2"/>
  <c r="AA60" i="2"/>
  <c r="Z60" i="2" a="1"/>
  <c r="Z60" i="2" s="1"/>
  <c r="Y60" i="2"/>
  <c r="Y60" i="2" a="1"/>
  <c r="X60" i="2"/>
  <c r="W60" i="2"/>
  <c r="AC59" i="2"/>
  <c r="AB59" i="2"/>
  <c r="AA59" i="2"/>
  <c r="Z59" i="2" a="1"/>
  <c r="Z59" i="2" s="1"/>
  <c r="Y59" i="2" a="1"/>
  <c r="Y59" i="2" s="1"/>
  <c r="X59" i="2"/>
  <c r="W59" i="2"/>
  <c r="AC58" i="2"/>
  <c r="AB58" i="2"/>
  <c r="AA58" i="2"/>
  <c r="Z58" i="2"/>
  <c r="Z58" i="2" a="1"/>
  <c r="Y58" i="2" a="1"/>
  <c r="Y58" i="2" s="1"/>
  <c r="X58" i="2"/>
  <c r="W58" i="2"/>
  <c r="AC57" i="2"/>
  <c r="AB57" i="2"/>
  <c r="AA57" i="2"/>
  <c r="Z57" i="2" a="1"/>
  <c r="Z57" i="2" s="1"/>
  <c r="Y57" i="2" a="1"/>
  <c r="Y57" i="2" s="1"/>
  <c r="X57" i="2"/>
  <c r="W57" i="2"/>
  <c r="AC56" i="2"/>
  <c r="AB56" i="2"/>
  <c r="AA56" i="2"/>
  <c r="Z56" i="2" a="1"/>
  <c r="Z56" i="2" s="1"/>
  <c r="Y56" i="2"/>
  <c r="Y56" i="2" a="1"/>
  <c r="X56" i="2"/>
  <c r="W56" i="2"/>
  <c r="AC55" i="2"/>
  <c r="AB55" i="2"/>
  <c r="AA55" i="2"/>
  <c r="Z55" i="2" a="1"/>
  <c r="Z55" i="2" s="1"/>
  <c r="Y55" i="2" a="1"/>
  <c r="Y55" i="2" s="1"/>
  <c r="X55" i="2"/>
  <c r="W55" i="2"/>
  <c r="AC54" i="2"/>
  <c r="AB54" i="2"/>
  <c r="AA54" i="2"/>
  <c r="Z54" i="2"/>
  <c r="Z54" i="2" a="1"/>
  <c r="Y54" i="2" a="1"/>
  <c r="Y54" i="2" s="1"/>
  <c r="X54" i="2"/>
  <c r="W54" i="2"/>
  <c r="AC53" i="2"/>
  <c r="AB53" i="2"/>
  <c r="AA53" i="2"/>
  <c r="Z53" i="2" a="1"/>
  <c r="Z53" i="2" s="1"/>
  <c r="Y53" i="2" a="1"/>
  <c r="Y53" i="2" s="1"/>
  <c r="X53" i="2"/>
  <c r="W53" i="2"/>
  <c r="AC52" i="2"/>
  <c r="AB52" i="2"/>
  <c r="AA52" i="2"/>
  <c r="Z52" i="2" a="1"/>
  <c r="Z52" i="2" s="1"/>
  <c r="Y52" i="2"/>
  <c r="Y52" i="2" a="1"/>
  <c r="X52" i="2"/>
  <c r="W52" i="2"/>
  <c r="AC51" i="2"/>
  <c r="AB51" i="2"/>
  <c r="AA51" i="2"/>
  <c r="Z51" i="2" a="1"/>
  <c r="Z51" i="2" s="1"/>
  <c r="Y51" i="2" a="1"/>
  <c r="Y51" i="2" s="1"/>
  <c r="X51" i="2"/>
  <c r="W51" i="2"/>
  <c r="AC50" i="2"/>
  <c r="AB50" i="2"/>
  <c r="AA50" i="2"/>
  <c r="Z50" i="2"/>
  <c r="Z50" i="2" a="1"/>
  <c r="Y50" i="2" a="1"/>
  <c r="Y50" i="2" s="1"/>
  <c r="X50" i="2"/>
  <c r="W50" i="2"/>
  <c r="AC49" i="2"/>
  <c r="AB49" i="2"/>
  <c r="AA49" i="2"/>
  <c r="Z49" i="2" a="1"/>
  <c r="Z49" i="2" s="1"/>
  <c r="Y49" i="2" a="1"/>
  <c r="Y49" i="2" s="1"/>
  <c r="X49" i="2"/>
  <c r="W49" i="2"/>
  <c r="AC48" i="2"/>
  <c r="AB48" i="2"/>
  <c r="AA48" i="2"/>
  <c r="Z48" i="2" a="1"/>
  <c r="Z48" i="2" s="1"/>
  <c r="Y48" i="2"/>
  <c r="Y48" i="2" a="1"/>
  <c r="X48" i="2"/>
  <c r="W48" i="2"/>
  <c r="AC47" i="2"/>
  <c r="AB47" i="2"/>
  <c r="AA47" i="2"/>
  <c r="Z47" i="2" a="1"/>
  <c r="Z47" i="2" s="1"/>
  <c r="Y47" i="2" a="1"/>
  <c r="Y47" i="2" s="1"/>
  <c r="X47" i="2"/>
  <c r="W47" i="2"/>
  <c r="AC46" i="2"/>
  <c r="AB46" i="2"/>
  <c r="AA46" i="2"/>
  <c r="Z46" i="2"/>
  <c r="Z46" i="2" a="1"/>
  <c r="Y46" i="2" a="1"/>
  <c r="Y46" i="2" s="1"/>
  <c r="X46" i="2"/>
  <c r="W46" i="2"/>
  <c r="AC45" i="2"/>
  <c r="AB45" i="2"/>
  <c r="AA45" i="2"/>
  <c r="Z45" i="2" a="1"/>
  <c r="Z45" i="2" s="1"/>
  <c r="Y45" i="2" a="1"/>
  <c r="Y45" i="2" s="1"/>
  <c r="X45" i="2"/>
  <c r="W45" i="2"/>
  <c r="AC44" i="2"/>
  <c r="AB44" i="2"/>
  <c r="AA44" i="2"/>
  <c r="Z44" i="2" a="1"/>
  <c r="Z44" i="2" s="1"/>
  <c r="Y44" i="2"/>
  <c r="Y44" i="2" a="1"/>
  <c r="X44" i="2"/>
  <c r="W44" i="2"/>
  <c r="AC43" i="2"/>
  <c r="AB43" i="2"/>
  <c r="AA43" i="2"/>
  <c r="Z43" i="2" a="1"/>
  <c r="Z43" i="2" s="1"/>
  <c r="Y43" i="2" a="1"/>
  <c r="Y43" i="2" s="1"/>
  <c r="X43" i="2"/>
  <c r="W43" i="2"/>
  <c r="AC42" i="2"/>
  <c r="AB42" i="2"/>
  <c r="AA42" i="2"/>
  <c r="Z42" i="2"/>
  <c r="Z42" i="2" a="1"/>
  <c r="Y42" i="2" a="1"/>
  <c r="Y42" i="2" s="1"/>
  <c r="X42" i="2"/>
  <c r="W42" i="2"/>
  <c r="AC41" i="2"/>
  <c r="AB41" i="2"/>
  <c r="AA41" i="2"/>
  <c r="Z41" i="2" a="1"/>
  <c r="Z41" i="2" s="1"/>
  <c r="Y41" i="2" a="1"/>
  <c r="Y41" i="2" s="1"/>
  <c r="X41" i="2"/>
  <c r="W41" i="2"/>
  <c r="AC40" i="2"/>
  <c r="AB40" i="2"/>
  <c r="AA40" i="2"/>
  <c r="Z40" i="2" a="1"/>
  <c r="Z40" i="2" s="1"/>
  <c r="Y40" i="2"/>
  <c r="Y40" i="2" a="1"/>
  <c r="X40" i="2"/>
  <c r="W40" i="2"/>
  <c r="AC39" i="2"/>
  <c r="AB39" i="2"/>
  <c r="AA39" i="2"/>
  <c r="Z39" i="2" a="1"/>
  <c r="Z39" i="2" s="1"/>
  <c r="Y39" i="2" a="1"/>
  <c r="Y39" i="2" s="1"/>
  <c r="X39" i="2"/>
  <c r="W39" i="2"/>
  <c r="AC38" i="2"/>
  <c r="AB38" i="2"/>
  <c r="AA38" i="2"/>
  <c r="Z38" i="2"/>
  <c r="Z38" i="2" a="1"/>
  <c r="Y38" i="2" a="1"/>
  <c r="Y38" i="2" s="1"/>
  <c r="X38" i="2"/>
  <c r="W38" i="2"/>
  <c r="AC37" i="2"/>
  <c r="AB37" i="2"/>
  <c r="AA37" i="2"/>
  <c r="Z37" i="2" a="1"/>
  <c r="Z37" i="2" s="1"/>
  <c r="Y37" i="2" a="1"/>
  <c r="Y37" i="2" s="1"/>
  <c r="X37" i="2"/>
  <c r="W37" i="2"/>
  <c r="AC36" i="2"/>
  <c r="AB36" i="2"/>
  <c r="AA36" i="2"/>
  <c r="Z36" i="2" a="1"/>
  <c r="Z36" i="2" s="1"/>
  <c r="Y36" i="2"/>
  <c r="Y36" i="2" a="1"/>
  <c r="X36" i="2"/>
  <c r="W36" i="2"/>
  <c r="AC35" i="2"/>
  <c r="AB35" i="2"/>
  <c r="AA35" i="2"/>
  <c r="Z35" i="2" a="1"/>
  <c r="Z35" i="2" s="1"/>
  <c r="Y35" i="2" a="1"/>
  <c r="Y35" i="2" s="1"/>
  <c r="X35" i="2"/>
  <c r="W35" i="2"/>
  <c r="AC34" i="2"/>
  <c r="AB34" i="2"/>
  <c r="AA34" i="2"/>
  <c r="Z34" i="2"/>
  <c r="Z34" i="2" a="1"/>
  <c r="Y34" i="2" a="1"/>
  <c r="Y34" i="2" s="1"/>
  <c r="X34" i="2"/>
  <c r="W34" i="2"/>
  <c r="AC33" i="2"/>
  <c r="AB33" i="2"/>
  <c r="AA33" i="2"/>
  <c r="Z33" i="2" a="1"/>
  <c r="Z33" i="2" s="1"/>
  <c r="Y33" i="2" a="1"/>
  <c r="Y33" i="2" s="1"/>
  <c r="X33" i="2"/>
  <c r="W33" i="2"/>
  <c r="AC32" i="2"/>
  <c r="AB32" i="2"/>
  <c r="AA32" i="2"/>
  <c r="Z32" i="2" a="1"/>
  <c r="Z32" i="2" s="1"/>
  <c r="Y32" i="2"/>
  <c r="Y32" i="2" a="1"/>
  <c r="X32" i="2"/>
  <c r="W32" i="2"/>
  <c r="AC31" i="2"/>
  <c r="AB31" i="2"/>
  <c r="AA31" i="2"/>
  <c r="Z31" i="2" a="1"/>
  <c r="Z31" i="2" s="1"/>
  <c r="Y31" i="2" a="1"/>
  <c r="Y31" i="2" s="1"/>
  <c r="X31" i="2"/>
  <c r="W31" i="2"/>
  <c r="AC30" i="2"/>
  <c r="AB30" i="2"/>
  <c r="AA30" i="2"/>
  <c r="Z30" i="2"/>
  <c r="Z30" i="2" a="1"/>
  <c r="Y30" i="2" a="1"/>
  <c r="Y30" i="2" s="1"/>
  <c r="X30" i="2"/>
  <c r="W30" i="2"/>
  <c r="AC29" i="2"/>
  <c r="AB29" i="2"/>
  <c r="AA29" i="2"/>
  <c r="Z29" i="2" a="1"/>
  <c r="Z29" i="2" s="1"/>
  <c r="Y29" i="2" a="1"/>
  <c r="Y29" i="2" s="1"/>
  <c r="X29" i="2"/>
  <c r="W29" i="2"/>
  <c r="AC28" i="2"/>
  <c r="AB28" i="2"/>
  <c r="AA28" i="2"/>
  <c r="Z28" i="2" a="1"/>
  <c r="Z28" i="2" s="1"/>
  <c r="Y28" i="2"/>
  <c r="Y28" i="2" a="1"/>
  <c r="X28" i="2"/>
  <c r="W28" i="2"/>
  <c r="AC27" i="2"/>
  <c r="AB27" i="2"/>
  <c r="AA27" i="2"/>
  <c r="Z27" i="2" a="1"/>
  <c r="Z27" i="2" s="1"/>
  <c r="Y27" i="2" a="1"/>
  <c r="Y27" i="2" s="1"/>
  <c r="X27" i="2"/>
  <c r="W27" i="2"/>
  <c r="AC26" i="2"/>
  <c r="AB26" i="2"/>
  <c r="AA26" i="2"/>
  <c r="Z26" i="2"/>
  <c r="Z26" i="2" a="1"/>
  <c r="Y26" i="2" a="1"/>
  <c r="Y26" i="2" s="1"/>
  <c r="X26" i="2"/>
  <c r="W26" i="2"/>
  <c r="AC25" i="2"/>
  <c r="AB25" i="2"/>
  <c r="AA25" i="2"/>
  <c r="Z25" i="2" a="1"/>
  <c r="Z25" i="2" s="1"/>
  <c r="Y25" i="2" a="1"/>
  <c r="Y25" i="2" s="1"/>
  <c r="X25" i="2"/>
  <c r="W25" i="2"/>
  <c r="AC24" i="2"/>
  <c r="AB24" i="2"/>
  <c r="AA24" i="2"/>
  <c r="Z24" i="2" a="1"/>
  <c r="Z24" i="2" s="1"/>
  <c r="Y24" i="2"/>
  <c r="Y24" i="2" a="1"/>
  <c r="X24" i="2"/>
  <c r="W24" i="2"/>
  <c r="AC23" i="2"/>
  <c r="AB23" i="2"/>
  <c r="AA23" i="2"/>
  <c r="Z23" i="2" a="1"/>
  <c r="Z23" i="2" s="1"/>
  <c r="Y23" i="2" a="1"/>
  <c r="Y23" i="2" s="1"/>
  <c r="X23" i="2"/>
  <c r="W23" i="2"/>
  <c r="AC22" i="2"/>
  <c r="AB22" i="2"/>
  <c r="AA22" i="2"/>
  <c r="Z22" i="2"/>
  <c r="Z22" i="2" a="1"/>
  <c r="Y22" i="2" a="1"/>
  <c r="Y22" i="2" s="1"/>
  <c r="X22" i="2"/>
  <c r="W22" i="2"/>
  <c r="AC21" i="2"/>
  <c r="AB21" i="2"/>
  <c r="AA21" i="2"/>
  <c r="Z21" i="2" a="1"/>
  <c r="Z21" i="2" s="1"/>
  <c r="Y21" i="2" a="1"/>
  <c r="Y21" i="2" s="1"/>
  <c r="X21" i="2"/>
  <c r="W21" i="2"/>
  <c r="AC20" i="2"/>
  <c r="AB20" i="2"/>
  <c r="AA20" i="2"/>
  <c r="Z20" i="2" a="1"/>
  <c r="Z20" i="2" s="1"/>
  <c r="Y20" i="2"/>
  <c r="Y20" i="2" a="1"/>
  <c r="X20" i="2"/>
  <c r="W20" i="2"/>
  <c r="AC19" i="2"/>
  <c r="AB19" i="2"/>
  <c r="AA19" i="2"/>
  <c r="Z19" i="2" a="1"/>
  <c r="Z19" i="2" s="1"/>
  <c r="Y19" i="2" a="1"/>
  <c r="Y19" i="2" s="1"/>
  <c r="X19" i="2"/>
  <c r="W19" i="2"/>
  <c r="AC18" i="2"/>
  <c r="AB18" i="2"/>
  <c r="AA18" i="2"/>
  <c r="Z18" i="2"/>
  <c r="Z18" i="2" a="1"/>
  <c r="Y18" i="2" a="1"/>
  <c r="Y18" i="2" s="1"/>
  <c r="X18" i="2"/>
  <c r="W18" i="2"/>
  <c r="AC17" i="2"/>
  <c r="AB17" i="2"/>
  <c r="AA17" i="2"/>
  <c r="Z17" i="2" a="1"/>
  <c r="Z17" i="2" s="1"/>
  <c r="Y17" i="2" a="1"/>
  <c r="Y17" i="2" s="1"/>
  <c r="X17" i="2"/>
  <c r="W17" i="2"/>
  <c r="AC16" i="2"/>
  <c r="AB16" i="2"/>
  <c r="AA16" i="2"/>
  <c r="Z16" i="2" a="1"/>
  <c r="Z16" i="2" s="1"/>
  <c r="Y16" i="2"/>
  <c r="Y16" i="2" a="1"/>
  <c r="X16" i="2"/>
  <c r="W16" i="2"/>
  <c r="AC15" i="2"/>
  <c r="AB15" i="2"/>
  <c r="AA15" i="2"/>
  <c r="Z15" i="2" a="1"/>
  <c r="Z15" i="2" s="1"/>
  <c r="Y15" i="2" a="1"/>
  <c r="Y15" i="2" s="1"/>
  <c r="X15" i="2"/>
  <c r="W15" i="2"/>
  <c r="AC14" i="2"/>
  <c r="AB14" i="2"/>
  <c r="AA14" i="2"/>
  <c r="Z14" i="2"/>
  <c r="Z14" i="2" a="1"/>
  <c r="Y14" i="2" a="1"/>
  <c r="Y14" i="2" s="1"/>
  <c r="X14" i="2"/>
  <c r="W14" i="2"/>
  <c r="AC13" i="2"/>
  <c r="AB13" i="2"/>
  <c r="AA13" i="2"/>
  <c r="Z13" i="2" a="1"/>
  <c r="Z13" i="2" s="1"/>
  <c r="Y13" i="2" a="1"/>
  <c r="Y13" i="2" s="1"/>
  <c r="X13" i="2"/>
  <c r="W13" i="2"/>
  <c r="AC12" i="2"/>
  <c r="AB12" i="2"/>
  <c r="AA12" i="2"/>
  <c r="Z12" i="2" a="1"/>
  <c r="Z12" i="2" s="1"/>
  <c r="Y12" i="2"/>
  <c r="Y12" i="2" a="1"/>
  <c r="X12" i="2"/>
  <c r="W12" i="2"/>
  <c r="AC11" i="2"/>
  <c r="AB11" i="2"/>
  <c r="AA11" i="2"/>
  <c r="Z11" i="2" a="1"/>
  <c r="Z11" i="2" s="1"/>
  <c r="Y11" i="2" a="1"/>
  <c r="Y11" i="2" s="1"/>
  <c r="X11" i="2"/>
  <c r="W11" i="2"/>
  <c r="AC10" i="2"/>
  <c r="AB10" i="2"/>
  <c r="AA10" i="2"/>
  <c r="Z10" i="2"/>
  <c r="Z10" i="2" a="1"/>
  <c r="Y10" i="2" a="1"/>
  <c r="Y10" i="2" s="1"/>
  <c r="X10" i="2"/>
  <c r="W10" i="2"/>
  <c r="AC9" i="2"/>
  <c r="AB9" i="2"/>
  <c r="AA9" i="2"/>
  <c r="Z9" i="2" a="1"/>
  <c r="Z9" i="2" s="1"/>
  <c r="Y9" i="2" a="1"/>
  <c r="Y9" i="2" s="1"/>
  <c r="X9" i="2"/>
  <c r="W9" i="2"/>
  <c r="AC8" i="2"/>
  <c r="AB8" i="2"/>
  <c r="AA8" i="2"/>
  <c r="Z8" i="2" a="1"/>
  <c r="Z8" i="2" s="1"/>
  <c r="Y8" i="2"/>
  <c r="Y8" i="2" a="1"/>
  <c r="X8" i="2"/>
  <c r="W8" i="2"/>
  <c r="AC7" i="2"/>
  <c r="AB7" i="2"/>
  <c r="AA7" i="2"/>
  <c r="Z7" i="2" a="1"/>
  <c r="Z7" i="2" s="1"/>
  <c r="Y7" i="2" a="1"/>
  <c r="Y7" i="2" s="1"/>
  <c r="X7" i="2"/>
  <c r="W7" i="2"/>
  <c r="AC6" i="2"/>
  <c r="AB6" i="2"/>
  <c r="AA6" i="2"/>
  <c r="Z6" i="2"/>
  <c r="Z6" i="2" a="1"/>
  <c r="Y6" i="2" a="1"/>
  <c r="Y6" i="2" s="1"/>
  <c r="X6" i="2"/>
  <c r="W6" i="2"/>
  <c r="AC5" i="2"/>
  <c r="AB5" i="2"/>
  <c r="AA5" i="2"/>
  <c r="Z5" i="2" a="1"/>
  <c r="Z5" i="2" s="1"/>
  <c r="Y5" i="2" a="1"/>
  <c r="Y5" i="2" s="1"/>
  <c r="X5" i="2"/>
  <c r="W5" i="2"/>
  <c r="AC4" i="2"/>
  <c r="AB4" i="2"/>
  <c r="AA4" i="2"/>
  <c r="Z4" i="2" a="1"/>
  <c r="Z4" i="2" s="1"/>
  <c r="Y4" i="2"/>
  <c r="Y4" i="2" a="1"/>
  <c r="X4" i="2"/>
  <c r="W4" i="2"/>
  <c r="AC3" i="2"/>
  <c r="AB3" i="2"/>
  <c r="AA3" i="2"/>
  <c r="Z3" i="2" a="1"/>
  <c r="Z3" i="2" s="1"/>
  <c r="Y3" i="2" a="1"/>
  <c r="Y3" i="2" s="1"/>
  <c r="X3" i="2"/>
  <c r="W3" i="2"/>
  <c r="AC2" i="2"/>
  <c r="AB2" i="2"/>
  <c r="AA2" i="2"/>
  <c r="Z2" i="2"/>
  <c r="Z2" i="2" a="1"/>
  <c r="Y2" i="2" a="1"/>
  <c r="Y2" i="2" s="1"/>
  <c r="X2" i="2"/>
  <c r="W2" i="2"/>
  <c r="E9" i="3"/>
  <c r="A5" i="3"/>
  <c r="C5" i="3"/>
  <c r="E5" i="3"/>
  <c r="C9" i="3"/>
  <c r="A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95B0C8-8E23-46E6-A14B-BECA0DB7F1F6}" keepAlive="1" name="Query - Clinical_Data" description="Connection to the 'Clinical_Data' query in the workbook." type="5" refreshedVersion="0" background="1">
    <dbPr connection="Provider=Microsoft.Mashup.OleDb.1;Data Source=$Workbook$;Location=Clinical_Data;Extended Properties=&quot;&quot;" command="SELECT * FROM [Clinical_Data]"/>
  </connection>
  <connection id="2" xr16:uid="{11614A93-BA6B-4C54-BEB1-0804C8A71E31}" keepAlive="1" name="Query - Finance_Data" description="Connection to the 'Finance_Data' query in the workbook." type="5" refreshedVersion="0" background="1">
    <dbPr connection="Provider=Microsoft.Mashup.OleDb.1;Data Source=$Workbook$;Location=Finance_Data;Extended Properties=&quot;&quot;" command="SELECT * FROM [Finance_Data]"/>
  </connection>
  <connection id="3" xr16:uid="{6C8C319E-000F-4365-9761-46B3818B0B6B}" keepAlive="1" name="Query - Merged_Clinical_Finance_Data" description="Connection to the 'Merged_Clinical_Finance_Data' query in the workbook." type="5" refreshedVersion="7" background="1" saveData="1">
    <dbPr connection="Provider=Microsoft.Mashup.OleDb.1;Data Source=$Workbook$;Location=Merged_Clinical_Finance_Data;Extended Properties=&quot;&quot;" command="SELECT * FROM [Merged_Clinical_Finance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<sst xmlns="http://schemas.openxmlformats.org/spreadsheetml/2006/main" count="3721" uniqueCount="449">
  <si>
    <t>Encounter_ID</t>
  </si>
  <si>
    <t>Department</t>
  </si>
  <si>
    <t>Ward</t>
  </si>
  <si>
    <t>Admission_Type</t>
  </si>
  <si>
    <t>Admission_Date</t>
  </si>
  <si>
    <t>Discharge_Date</t>
  </si>
  <si>
    <t>Length_of_Stay_Days</t>
  </si>
  <si>
    <t>Patient_Age</t>
  </si>
  <si>
    <t>Patient_Gender</t>
  </si>
  <si>
    <t>Ethnicity</t>
  </si>
  <si>
    <t>Consultant_Name</t>
  </si>
  <si>
    <t>Primary_Diagnosis</t>
  </si>
  <si>
    <t>Discharge_Method</t>
  </si>
  <si>
    <t>30Day_Readmission</t>
  </si>
  <si>
    <t>Occupied_Beds</t>
  </si>
  <si>
    <t>Total_Beds</t>
  </si>
  <si>
    <t>Bed_Occupancy_Rate</t>
  </si>
  <si>
    <t>Daily_Bed_Cost_GBP</t>
  </si>
  <si>
    <t>Total_Encounter_Cost_Naira</t>
  </si>
  <si>
    <t>Tariff_Code</t>
  </si>
  <si>
    <t>Specialty_Cost_Centre</t>
  </si>
  <si>
    <t>Treatment_Cost_Naira</t>
  </si>
  <si>
    <t>Occupancy_Rate_Fixed</t>
  </si>
  <si>
    <t>Readmit_Flag</t>
  </si>
  <si>
    <t>Age_Band</t>
  </si>
  <si>
    <t>LOS_Band</t>
  </si>
  <si>
    <t>Admission_Month</t>
  </si>
  <si>
    <t>Cost_Check</t>
  </si>
  <si>
    <t>High_Cost_Flag</t>
  </si>
  <si>
    <t>EX20001</t>
  </si>
  <si>
    <t>Neurology</t>
  </si>
  <si>
    <t>Ward 3A</t>
  </si>
  <si>
    <t>Urgent</t>
  </si>
  <si>
    <t>Male</t>
  </si>
  <si>
    <t>Asian/Asian British</t>
  </si>
  <si>
    <t>Dr. M. Sharma</t>
  </si>
  <si>
    <t>Stroke</t>
  </si>
  <si>
    <t>Discharged to Community Care</t>
  </si>
  <si>
    <t>No</t>
  </si>
  <si>
    <t>NEUR-GEN</t>
  </si>
  <si>
    <t>CC-NEURO-07</t>
  </si>
  <si>
    <t>EX20002</t>
  </si>
  <si>
    <t>Emergency</t>
  </si>
  <si>
    <t>Female</t>
  </si>
  <si>
    <t>Black/African/Caribbean</t>
  </si>
  <si>
    <t>Dr. H. Adeyemi</t>
  </si>
  <si>
    <t>Epilepsy</t>
  </si>
  <si>
    <t>Discharged Home</t>
  </si>
  <si>
    <t>EX20003</t>
  </si>
  <si>
    <t>Orthopaedics</t>
  </si>
  <si>
    <t>Ward 6B</t>
  </si>
  <si>
    <t>White British</t>
  </si>
  <si>
    <t>Mr. S. Obi</t>
  </si>
  <si>
    <t>Hip Fracture</t>
  </si>
  <si>
    <t>Transfer to Other Trust</t>
  </si>
  <si>
    <t>EMRG-GEN</t>
  </si>
  <si>
    <t>CC-EMERG-04</t>
  </si>
  <si>
    <t>EX20004</t>
  </si>
  <si>
    <t>Respiratory</t>
  </si>
  <si>
    <t>Ward 5B</t>
  </si>
  <si>
    <t>Elective</t>
  </si>
  <si>
    <t>Mixed/Multiple</t>
  </si>
  <si>
    <t>Dr. L. Thompson</t>
  </si>
  <si>
    <t>Pneumonia</t>
  </si>
  <si>
    <t>GENM-GEN</t>
  </si>
  <si>
    <t>CC-GENMED-03</t>
  </si>
  <si>
    <t>EX20005</t>
  </si>
  <si>
    <t>General Medicine</t>
  </si>
  <si>
    <t>Ward 2C</t>
  </si>
  <si>
    <t>Dr. A. Patel</t>
  </si>
  <si>
    <t>Sepsis</t>
  </si>
  <si>
    <t>Yes</t>
  </si>
  <si>
    <t>EX20006</t>
  </si>
  <si>
    <t>Not Stated</t>
  </si>
  <si>
    <t>Self-Discharge</t>
  </si>
  <si>
    <t>EX20007</t>
  </si>
  <si>
    <t>Dr. P. Clarke</t>
  </si>
  <si>
    <t>DVT</t>
  </si>
  <si>
    <t>EX20008</t>
  </si>
  <si>
    <t>Paediatrics</t>
  </si>
  <si>
    <t>Children's Ward</t>
  </si>
  <si>
    <t>Other Ethnic Group</t>
  </si>
  <si>
    <t>Dr. F. Garcia</t>
  </si>
  <si>
    <t>Asthma</t>
  </si>
  <si>
    <t>ORTH-GEN</t>
  </si>
  <si>
    <t>CC-ORTHO-02</t>
  </si>
  <si>
    <t>EX20009</t>
  </si>
  <si>
    <t>Dr. C. Walsh</t>
  </si>
  <si>
    <t>Bronchiolitis</t>
  </si>
  <si>
    <t>ONCO-GEN</t>
  </si>
  <si>
    <t>CC-ONCOL-05</t>
  </si>
  <si>
    <t>EX20010</t>
  </si>
  <si>
    <t>TIA</t>
  </si>
  <si>
    <t>EX20011</t>
  </si>
  <si>
    <t>EX20012</t>
  </si>
  <si>
    <t>Dr. E. Baxter</t>
  </si>
  <si>
    <t>RESP-GEN</t>
  </si>
  <si>
    <t>CC-RESPI-08</t>
  </si>
  <si>
    <t>EX20013</t>
  </si>
  <si>
    <t>Viral Infection</t>
  </si>
  <si>
    <t>EX20014</t>
  </si>
  <si>
    <t>EX20015</t>
  </si>
  <si>
    <t>Emergency Medicine</t>
  </si>
  <si>
    <t>A&amp;E Bay</t>
  </si>
  <si>
    <t>Dr. K. Lee</t>
  </si>
  <si>
    <t>Chest Pain</t>
  </si>
  <si>
    <t>EX20016</t>
  </si>
  <si>
    <t>Cardiology</t>
  </si>
  <si>
    <t>Ward 4A</t>
  </si>
  <si>
    <t>Dr. T. Ibrahim</t>
  </si>
  <si>
    <t>Atrial Fibrillation</t>
  </si>
  <si>
    <t>PEDS-GEN</t>
  </si>
  <si>
    <t>CC-PAEDS-06</t>
  </si>
  <si>
    <t>EX20017</t>
  </si>
  <si>
    <t>Oncology</t>
  </si>
  <si>
    <t>Ward 8D</t>
  </si>
  <si>
    <t>Dr. J. Kowalski</t>
  </si>
  <si>
    <t>Colorectal Cancer</t>
  </si>
  <si>
    <t>EX20018</t>
  </si>
  <si>
    <t>COPD Exacerbation</t>
  </si>
  <si>
    <t>EX20019</t>
  </si>
  <si>
    <t>Arrhythmia</t>
  </si>
  <si>
    <t>EX20020</t>
  </si>
  <si>
    <t>EX20021</t>
  </si>
  <si>
    <t>Abdominal Pain</t>
  </si>
  <si>
    <t>EX20022</t>
  </si>
  <si>
    <t>Knee Replacement</t>
  </si>
  <si>
    <t>EX20023</t>
  </si>
  <si>
    <t>EX20024</t>
  </si>
  <si>
    <t>Heart Failure</t>
  </si>
  <si>
    <t>EX20025</t>
  </si>
  <si>
    <t>EX20026</t>
  </si>
  <si>
    <t>Dr. N. Osei</t>
  </si>
  <si>
    <t>EX20027</t>
  </si>
  <si>
    <t>Headache/Migraine</t>
  </si>
  <si>
    <t>EX20028</t>
  </si>
  <si>
    <t>CARD-GEN</t>
  </si>
  <si>
    <t>CC-CARDIO-01</t>
  </si>
  <si>
    <t>EX20029</t>
  </si>
  <si>
    <t>Lymphoma</t>
  </si>
  <si>
    <t>EX20030</t>
  </si>
  <si>
    <t>EX20031</t>
  </si>
  <si>
    <t>EX20032</t>
  </si>
  <si>
    <t>Mr. D. Murray</t>
  </si>
  <si>
    <t>EX20033</t>
  </si>
  <si>
    <t>Appendicitis</t>
  </si>
  <si>
    <t>EX20034</t>
  </si>
  <si>
    <t>EX20035</t>
  </si>
  <si>
    <t>EX20036</t>
  </si>
  <si>
    <t>EX20037</t>
  </si>
  <si>
    <t>Fracture NOF</t>
  </si>
  <si>
    <t>EX20038</t>
  </si>
  <si>
    <t>EX20039</t>
  </si>
  <si>
    <t>Dr. B. Mensah</t>
  </si>
  <si>
    <t>EX20040</t>
  </si>
  <si>
    <t>PE</t>
  </si>
  <si>
    <t>EX20041</t>
  </si>
  <si>
    <t>EX20042</t>
  </si>
  <si>
    <t>Dr. R. Vasquez</t>
  </si>
  <si>
    <t>EX20043</t>
  </si>
  <si>
    <t>EX20044</t>
  </si>
  <si>
    <t>Breast Cancer</t>
  </si>
  <si>
    <t>EX20045</t>
  </si>
  <si>
    <t>EX20046</t>
  </si>
  <si>
    <t>Head Injury</t>
  </si>
  <si>
    <t>EX20047</t>
  </si>
  <si>
    <t>EX20048</t>
  </si>
  <si>
    <t>Cellulitis</t>
  </si>
  <si>
    <t>EX20049</t>
  </si>
  <si>
    <t>EX20050</t>
  </si>
  <si>
    <t>EX20051</t>
  </si>
  <si>
    <t>EX20052</t>
  </si>
  <si>
    <t>EX20053</t>
  </si>
  <si>
    <t>EX20054</t>
  </si>
  <si>
    <t>EX20055</t>
  </si>
  <si>
    <t>EX20056</t>
  </si>
  <si>
    <t>UTI</t>
  </si>
  <si>
    <t>EX20057</t>
  </si>
  <si>
    <t>EX20058</t>
  </si>
  <si>
    <t>Disc Prolapse</t>
  </si>
  <si>
    <t>EX20059</t>
  </si>
  <si>
    <t>EX20060</t>
  </si>
  <si>
    <t>EX20061</t>
  </si>
  <si>
    <t>EX20062</t>
  </si>
  <si>
    <t>EX20063</t>
  </si>
  <si>
    <t>EX20064</t>
  </si>
  <si>
    <t>EX20065</t>
  </si>
  <si>
    <t>EX20066</t>
  </si>
  <si>
    <t>EX20067</t>
  </si>
  <si>
    <t>EX20068</t>
  </si>
  <si>
    <t>EX20069</t>
  </si>
  <si>
    <t>EX20070</t>
  </si>
  <si>
    <t>EX20071</t>
  </si>
  <si>
    <t>Acute MI</t>
  </si>
  <si>
    <t>EX20072</t>
  </si>
  <si>
    <t>EX20073</t>
  </si>
  <si>
    <t>EX20074</t>
  </si>
  <si>
    <t>EX20075</t>
  </si>
  <si>
    <t>EX20076</t>
  </si>
  <si>
    <t>EX20077</t>
  </si>
  <si>
    <t>EX20078</t>
  </si>
  <si>
    <t>EX20079</t>
  </si>
  <si>
    <t>EX20080</t>
  </si>
  <si>
    <t>EX20081</t>
  </si>
  <si>
    <t>EX20082</t>
  </si>
  <si>
    <t>EX20083</t>
  </si>
  <si>
    <t>EX20084</t>
  </si>
  <si>
    <t>EX20085</t>
  </si>
  <si>
    <t>EX20086</t>
  </si>
  <si>
    <t>Overdose</t>
  </si>
  <si>
    <t>EX20087</t>
  </si>
  <si>
    <t>EX20088</t>
  </si>
  <si>
    <t>EX20089</t>
  </si>
  <si>
    <t>EX20090</t>
  </si>
  <si>
    <t>EX20091</t>
  </si>
  <si>
    <t>EX20092</t>
  </si>
  <si>
    <t>EX20093</t>
  </si>
  <si>
    <t>EX20094</t>
  </si>
  <si>
    <t>EX20095</t>
  </si>
  <si>
    <t>EX20096</t>
  </si>
  <si>
    <t>EX20097</t>
  </si>
  <si>
    <t>EX20098</t>
  </si>
  <si>
    <t>EX20099</t>
  </si>
  <si>
    <t>Lung Cancer</t>
  </si>
  <si>
    <t>EX20100</t>
  </si>
  <si>
    <t>EX20101</t>
  </si>
  <si>
    <t>EX20102</t>
  </si>
  <si>
    <t>EX20103</t>
  </si>
  <si>
    <t>EX20104</t>
  </si>
  <si>
    <t>EX20105</t>
  </si>
  <si>
    <t>EX20106</t>
  </si>
  <si>
    <t>EX20107</t>
  </si>
  <si>
    <t>EX20108</t>
  </si>
  <si>
    <t>EX20109</t>
  </si>
  <si>
    <t>EX20110</t>
  </si>
  <si>
    <t>EX20111</t>
  </si>
  <si>
    <t>EX20112</t>
  </si>
  <si>
    <t>EX20113</t>
  </si>
  <si>
    <t>EX20114</t>
  </si>
  <si>
    <t>EX20115</t>
  </si>
  <si>
    <t>EX20116</t>
  </si>
  <si>
    <t>EX20117</t>
  </si>
  <si>
    <t>EX20118</t>
  </si>
  <si>
    <t>EX20119</t>
  </si>
  <si>
    <t>EX20120</t>
  </si>
  <si>
    <t>EX20121</t>
  </si>
  <si>
    <t>EX20122</t>
  </si>
  <si>
    <t>EX20123</t>
  </si>
  <si>
    <t>EX20124</t>
  </si>
  <si>
    <t>EX20125</t>
  </si>
  <si>
    <t>EX20126</t>
  </si>
  <si>
    <t>EX20127</t>
  </si>
  <si>
    <t>EX20128</t>
  </si>
  <si>
    <t>EX20129</t>
  </si>
  <si>
    <t>EX20130</t>
  </si>
  <si>
    <t>EX20131</t>
  </si>
  <si>
    <t>EX20132</t>
  </si>
  <si>
    <t>EX20133</t>
  </si>
  <si>
    <t>EX20134</t>
  </si>
  <si>
    <t>EX20135</t>
  </si>
  <si>
    <t>EX20136</t>
  </si>
  <si>
    <t>EX20137</t>
  </si>
  <si>
    <t>EX20138</t>
  </si>
  <si>
    <t>EX20139</t>
  </si>
  <si>
    <t>EX20140</t>
  </si>
  <si>
    <t>EX20141</t>
  </si>
  <si>
    <t>EX20142</t>
  </si>
  <si>
    <t>EX20143</t>
  </si>
  <si>
    <t>EX20144</t>
  </si>
  <si>
    <t>EX20145</t>
  </si>
  <si>
    <t>EX20146</t>
  </si>
  <si>
    <t>EX20147</t>
  </si>
  <si>
    <t>EX20148</t>
  </si>
  <si>
    <t>EX20149</t>
  </si>
  <si>
    <t>EX20150</t>
  </si>
  <si>
    <t>EX20151</t>
  </si>
  <si>
    <t>EX20152</t>
  </si>
  <si>
    <t>EX20153</t>
  </si>
  <si>
    <t>EX20154</t>
  </si>
  <si>
    <t>EX20155</t>
  </si>
  <si>
    <t>EX20156</t>
  </si>
  <si>
    <t>EX20157</t>
  </si>
  <si>
    <t>EX20158</t>
  </si>
  <si>
    <t>EX20159</t>
  </si>
  <si>
    <t>EX20160</t>
  </si>
  <si>
    <t>EX20161</t>
  </si>
  <si>
    <t>EX20162</t>
  </si>
  <si>
    <t>EX20163</t>
  </si>
  <si>
    <t>EX20164</t>
  </si>
  <si>
    <t>EX20165</t>
  </si>
  <si>
    <t>EX20166</t>
  </si>
  <si>
    <t>Asthma Attack</t>
  </si>
  <si>
    <t>EX20167</t>
  </si>
  <si>
    <t>EX20168</t>
  </si>
  <si>
    <t>EX20169</t>
  </si>
  <si>
    <t>EX20170</t>
  </si>
  <si>
    <t>EX20171</t>
  </si>
  <si>
    <t>EX20172</t>
  </si>
  <si>
    <t>EX20173</t>
  </si>
  <si>
    <t>EX20174</t>
  </si>
  <si>
    <t>EX20175</t>
  </si>
  <si>
    <t>EX20176</t>
  </si>
  <si>
    <t>EX20177</t>
  </si>
  <si>
    <t>EX20178</t>
  </si>
  <si>
    <t>EX20179</t>
  </si>
  <si>
    <t>EX20180</t>
  </si>
  <si>
    <t>EX20181</t>
  </si>
  <si>
    <t>EX20182</t>
  </si>
  <si>
    <t>EX20183</t>
  </si>
  <si>
    <t>EX20184</t>
  </si>
  <si>
    <t>EX20185</t>
  </si>
  <si>
    <t>EX20186</t>
  </si>
  <si>
    <t>EX20187</t>
  </si>
  <si>
    <t>EX20188</t>
  </si>
  <si>
    <t>EX20189</t>
  </si>
  <si>
    <t>EX20190</t>
  </si>
  <si>
    <t>EX20191</t>
  </si>
  <si>
    <t>EX20192</t>
  </si>
  <si>
    <t>EX20193</t>
  </si>
  <si>
    <t>EX20194</t>
  </si>
  <si>
    <t>EX20195</t>
  </si>
  <si>
    <t>EX20196</t>
  </si>
  <si>
    <t>EX20197</t>
  </si>
  <si>
    <t>EX20198</t>
  </si>
  <si>
    <t>EX20199</t>
  </si>
  <si>
    <t>EX20200</t>
  </si>
  <si>
    <t>EX20201</t>
  </si>
  <si>
    <t>EX20202</t>
  </si>
  <si>
    <t>EX20203</t>
  </si>
  <si>
    <t>EX20204</t>
  </si>
  <si>
    <t>EX20205</t>
  </si>
  <si>
    <t>EX20206</t>
  </si>
  <si>
    <t>EX20207</t>
  </si>
  <si>
    <t>EX20208</t>
  </si>
  <si>
    <t>EX20209</t>
  </si>
  <si>
    <t>EX20210</t>
  </si>
  <si>
    <t>EX20211</t>
  </si>
  <si>
    <t>EX20212</t>
  </si>
  <si>
    <t>EX20213</t>
  </si>
  <si>
    <t>EX20214</t>
  </si>
  <si>
    <t>EX20215</t>
  </si>
  <si>
    <t>EX20216</t>
  </si>
  <si>
    <t>EX20217</t>
  </si>
  <si>
    <t>EX20218</t>
  </si>
  <si>
    <t>EX20219</t>
  </si>
  <si>
    <t>EX20220</t>
  </si>
  <si>
    <t>EX20221</t>
  </si>
  <si>
    <t>EX20222</t>
  </si>
  <si>
    <t>EX20223</t>
  </si>
  <si>
    <t>EX20224</t>
  </si>
  <si>
    <t>EX20225</t>
  </si>
  <si>
    <t>EX20226</t>
  </si>
  <si>
    <t>EX20227</t>
  </si>
  <si>
    <t>EX20228</t>
  </si>
  <si>
    <t>EX20229</t>
  </si>
  <si>
    <t>EX20230</t>
  </si>
  <si>
    <t>EX20231</t>
  </si>
  <si>
    <t>EX20232</t>
  </si>
  <si>
    <t>EX20233</t>
  </si>
  <si>
    <t>EX20234</t>
  </si>
  <si>
    <t>EX20235</t>
  </si>
  <si>
    <t>EX20236</t>
  </si>
  <si>
    <t>EX20237</t>
  </si>
  <si>
    <t>EX20238</t>
  </si>
  <si>
    <t>EX20239</t>
  </si>
  <si>
    <t>EX20240</t>
  </si>
  <si>
    <t>EX20241</t>
  </si>
  <si>
    <t>EX20242</t>
  </si>
  <si>
    <t>EX20243</t>
  </si>
  <si>
    <t>EX20244</t>
  </si>
  <si>
    <t>EX20245</t>
  </si>
  <si>
    <t>EX20246</t>
  </si>
  <si>
    <t>EX20247</t>
  </si>
  <si>
    <t>EX20248</t>
  </si>
  <si>
    <t>EX20249</t>
  </si>
  <si>
    <t>EX20250</t>
  </si>
  <si>
    <t>EX20251</t>
  </si>
  <si>
    <t>EX20252</t>
  </si>
  <si>
    <t>EX20253</t>
  </si>
  <si>
    <t>EX20254</t>
  </si>
  <si>
    <t>EX20255</t>
  </si>
  <si>
    <t>EX20256</t>
  </si>
  <si>
    <t>EX20257</t>
  </si>
  <si>
    <t>EX20258</t>
  </si>
  <si>
    <t>EX20259</t>
  </si>
  <si>
    <t>EX20260</t>
  </si>
  <si>
    <t>EX20261</t>
  </si>
  <si>
    <t>EX20262</t>
  </si>
  <si>
    <t>EX20263</t>
  </si>
  <si>
    <t>EX20264</t>
  </si>
  <si>
    <t>EX20265</t>
  </si>
  <si>
    <t>EX20266</t>
  </si>
  <si>
    <t>EX20267</t>
  </si>
  <si>
    <t>EX20268</t>
  </si>
  <si>
    <t>EX20269</t>
  </si>
  <si>
    <t>EX20270</t>
  </si>
  <si>
    <t>EX20271</t>
  </si>
  <si>
    <t>EX20272</t>
  </si>
  <si>
    <t>EX20273</t>
  </si>
  <si>
    <t>EX20274</t>
  </si>
  <si>
    <t>EX20275</t>
  </si>
  <si>
    <t>EX20276</t>
  </si>
  <si>
    <t>EX20277</t>
  </si>
  <si>
    <t>EX20278</t>
  </si>
  <si>
    <t>EX20279</t>
  </si>
  <si>
    <t>EX20280</t>
  </si>
  <si>
    <t>EX20281</t>
  </si>
  <si>
    <t>EX20282</t>
  </si>
  <si>
    <t>EX20283</t>
  </si>
  <si>
    <t>EX20284</t>
  </si>
  <si>
    <t>EX20285</t>
  </si>
  <si>
    <t>EX20286</t>
  </si>
  <si>
    <t>EX20287</t>
  </si>
  <si>
    <t>EX20288</t>
  </si>
  <si>
    <t>EX20289</t>
  </si>
  <si>
    <t>EX20290</t>
  </si>
  <si>
    <t>EX20291</t>
  </si>
  <si>
    <t>EX20292</t>
  </si>
  <si>
    <t>EX20293</t>
  </si>
  <si>
    <t>EX20294</t>
  </si>
  <si>
    <t>EX20295</t>
  </si>
  <si>
    <t>EX20296</t>
  </si>
  <si>
    <t>EX20297</t>
  </si>
  <si>
    <t>EX20298</t>
  </si>
  <si>
    <t>EX20299</t>
  </si>
  <si>
    <t>EX20300</t>
  </si>
  <si>
    <t>Count of Encounter_ID</t>
  </si>
  <si>
    <t>Average of Length_of_Stay_Days</t>
  </si>
  <si>
    <t>Sum of Total_Encounter_Cost_Naira</t>
  </si>
  <si>
    <t>Average of Total_Encounter_Cost_Naira</t>
  </si>
  <si>
    <t>Average of Readmit_Flag</t>
  </si>
  <si>
    <t>Average of Occupancy_Rate_Fixed</t>
  </si>
  <si>
    <t>Count of 30Day_Readmission</t>
  </si>
  <si>
    <t>Departments</t>
  </si>
  <si>
    <t>Jan</t>
  </si>
  <si>
    <t>Feb</t>
  </si>
  <si>
    <t>Mar</t>
  </si>
  <si>
    <t>Apr</t>
  </si>
  <si>
    <t>May</t>
  </si>
  <si>
    <t>Jun</t>
  </si>
  <si>
    <t>Jul</t>
  </si>
  <si>
    <t>Aug</t>
  </si>
  <si>
    <t>Sep</t>
  </si>
  <si>
    <t>Oct</t>
  </si>
  <si>
    <t>Nov</t>
  </si>
  <si>
    <t>Dec</t>
  </si>
  <si>
    <t>Row Labels</t>
  </si>
  <si>
    <t>Encounters</t>
  </si>
  <si>
    <t>Average of Readmission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</si>
</sst>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164" fontId="0" fillId="0" borderId="0" xfId="0" applyNumberFormat="1"/>
    <xf numFmtId="9" fontId="0" fillId="0" borderId="0" xfId="1" applyFont="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165" fontId="0" fillId="0" borderId="0" xfId="0" applyNumberFormat="1"/>
    <xf numFmtId="9" fontId="0" fillId="0" borderId="0" xfId="0" applyNumberFormat="1"/>
    <xf numFmtId="0" fontId="0" fillId="2" borderId="0" xfId="0" applyFill="1"/>
  </cellXfs>
  <cellStyles count="2">
    <cellStyle name="Normal" xfId="0" builtinId="0"/>
    <cellStyle name="Percent" xfId="1" builtinId="5"/>
  </cellStyles>
  <dxfs count="81">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4" formatCode="&quot;₦&quot;#,##0.00"/>
    </dxf>
    <dxf>
      <numFmt numFmtId="164" formatCode="&quot;₦&quot;#,##0.00"/>
    </dxf>
    <dxf>
      <numFmt numFmtId="165" formatCode="&quot;₦&quot;#,##0"/>
    </dxf>
    <dxf>
      <numFmt numFmtId="164" formatCode="&quot;₦&quot;#,##0.00"/>
    </dxf>
    <dxf>
      <numFmt numFmtId="164" formatCode="&quot;₦&quot;#,##0.00"/>
    </dxf>
    <dxf>
      <numFmt numFmtId="165" formatCode="&quot;₦&quot;#,##0"/>
    </dxf>
    <dxf>
      <numFmt numFmtId="1" formatCode="0"/>
    </dxf>
    <dxf>
      <numFmt numFmtId="1" formatCode="0"/>
    </dxf>
    <dxf>
      <numFmt numFmtId="1" formatCode="0"/>
    </dxf>
    <dxf>
      <numFmt numFmtId="1" formatCode="0"/>
    </dxf>
    <dxf>
      <numFmt numFmtId="1"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4" formatCode="&quot;₦&quot;#,##0.00"/>
    </dxf>
    <dxf>
      <numFmt numFmtId="164" formatCode="&quot;₦&quot;#,##0.00"/>
    </dxf>
    <dxf>
      <numFmt numFmtId="165" formatCode="&quot;₦&quot;#,##0"/>
    </dxf>
    <dxf>
      <numFmt numFmtId="164" formatCode="&quot;₦&quot;#,##0.00"/>
    </dxf>
    <dxf>
      <numFmt numFmtId="164" formatCode="&quot;₦&quot;#,##0.00"/>
    </dxf>
    <dxf>
      <numFmt numFmtId="165" formatCode="&quot;₦&quot;#,##0"/>
    </dxf>
    <dxf>
      <numFmt numFmtId="1" formatCode="0"/>
    </dxf>
    <dxf>
      <numFmt numFmtId="1" formatCode="0"/>
    </dxf>
    <dxf>
      <numFmt numFmtId="1" formatCode="0"/>
    </dxf>
    <dxf>
      <numFmt numFmtId="1"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64" formatCode="&quot;₦&quot;#,##0.00"/>
    </dxf>
    <dxf>
      <numFmt numFmtId="164" formatCode="&quot;₦&quot;#,##0.00"/>
    </dxf>
    <dxf>
      <numFmt numFmtId="165" formatCode="&quot;₦&quot;#,##0"/>
    </dxf>
    <dxf>
      <numFmt numFmtId="164" formatCode="&quot;₦&quot;#,##0.00"/>
    </dxf>
    <dxf>
      <numFmt numFmtId="164" formatCode="&quot;₦&quot;#,##0.00"/>
    </dxf>
    <dxf>
      <numFmt numFmtId="165" formatCode="&quot;₦&quot;#,##0"/>
    </dxf>
    <dxf>
      <numFmt numFmtId="1" formatCode="0"/>
    </dxf>
    <dxf>
      <numFmt numFmtId="1" formatCode="0"/>
    </dxf>
    <dxf>
      <numFmt numFmtId="1" formatCode="0"/>
    </dxf>
    <dxf>
      <numFmt numFmtId="1" formatCode="0"/>
    </dxf>
    <dxf>
      <numFmt numFmtId="1" formatCode="0"/>
    </dxf>
    <dxf>
      <font>
        <b/>
        <i val="0"/>
        <sz val="10"/>
        <color auto="1"/>
        <name val="Calibri"/>
        <family val="2"/>
        <scheme val="minor"/>
      </font>
    </dxf>
    <dxf>
      <fill>
        <patternFill patternType="solid">
          <fgColor theme="0"/>
          <bgColor theme="0"/>
        </patternFill>
      </fill>
      <border diagonalUp="0" diagonalDown="0">
        <left/>
        <right/>
        <top/>
        <bottom/>
        <vertical/>
        <horizontal/>
      </border>
    </dxf>
    <dxf>
      <font>
        <b/>
        <i val="0"/>
        <sz val="11"/>
      </font>
      <fill>
        <patternFill patternType="none">
          <bgColor auto="1"/>
        </patternFill>
      </fill>
      <border diagonalUp="0" diagonalDown="0">
        <left/>
        <right/>
        <top/>
        <bottom/>
        <vertical/>
        <horizontal/>
      </border>
    </dxf>
    <dxf>
      <font>
        <b/>
        <i val="0"/>
        <sz val="10"/>
      </font>
      <border diagonalUp="0" diagonalDown="0">
        <left/>
        <right/>
        <top/>
        <bottom/>
        <vertical/>
        <horizontal/>
      </border>
    </dxf>
    <dxf>
      <numFmt numFmtId="0" formatCode="General"/>
    </dxf>
    <dxf>
      <numFmt numFmtId="164" formatCode="&quot;₦&quot;#,##0.00"/>
    </dxf>
    <dxf>
      <numFmt numFmtId="19" formatCode="dd/mm/yyyy"/>
    </dxf>
    <dxf>
      <numFmt numFmtId="0" formatCode="General"/>
    </dxf>
    <dxf>
      <numFmt numFmtId="0" formatCode="General"/>
    </dxf>
    <dxf>
      <numFmt numFmtId="0" formatCode="General"/>
    </dxf>
    <dxf>
      <numFmt numFmtId="164" formatCode="&quot;₦&quot;#,##0.00"/>
    </dxf>
    <dxf>
      <numFmt numFmtId="0" formatCode="General"/>
    </dxf>
    <dxf>
      <numFmt numFmtId="0" formatCode="General"/>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 Style 1" pivot="0" table="0" count="6" xr9:uid="{60EF62BD-44CF-42C2-98A8-72CB9AD655BC}">
      <tableStyleElement type="wholeTable" dxfId="58"/>
      <tableStyleElement type="headerRow" dxfId="57"/>
    </tableStyle>
    <tableStyle name="Timeline Style 1" pivot="0" table="0" count="8" xr9:uid="{3DA1ABC9-51D0-4C50-A445-1CE0B7573830}">
      <tableStyleElement type="wholeTable" dxfId="56"/>
      <tableStyleElement type="headerRow" dxfId="55"/>
    </tableStyle>
  </tableStyles>
  <colors>
    <mruColors>
      <color rgb="FF9DBFE3"/>
      <color rgb="FF2F6DB5"/>
      <color rgb="FFF3F5FA"/>
      <color rgb="FFF5A623"/>
    </mruColors>
  </colors>
  <extLst>
    <ext xmlns:x14="http://schemas.microsoft.com/office/spreadsheetml/2009/9/main" uri="{46F421CA-312F-682f-3DD2-61675219B42D}">
      <x14:dxfs count="4">
        <dxf>
          <fill>
            <patternFill>
              <bgColor rgb="FF002060"/>
            </patternFill>
          </fill>
        </dxf>
        <dxf>
          <fill>
            <patternFill>
              <bgColor theme="0" tint="-0.34998626667073579"/>
            </patternFill>
          </fill>
        </dxf>
        <dxf>
          <font>
            <b/>
            <i val="0"/>
            <sz val="10"/>
            <color theme="0"/>
          </font>
          <fill>
            <patternFill>
              <bgColor theme="8" tint="-0.499984740745262"/>
            </patternFill>
          </fill>
          <border diagonalUp="0" diagonalDown="0">
            <left/>
            <right/>
            <top/>
            <bottom/>
            <vertical/>
            <horizontal/>
          </border>
        </dxf>
        <dxf>
          <fill>
            <patternFill>
              <bgColor theme="0" tint="-0.14996795556505021"/>
            </patternFill>
          </fill>
          <border diagonalUp="0" diagonalDown="0">
            <left/>
            <right/>
            <top/>
            <bottom/>
            <vertical/>
            <horizontal/>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0.14996795556505021"/>
            </patternFill>
          </fill>
        </dxf>
        <dxf>
          <fill>
            <patternFill patternType="solid">
              <fgColor theme="0"/>
              <bgColor theme="8" tint="-0.499984740745262"/>
            </patternFill>
          </fill>
          <border diagonalUp="0" diagonalDown="0">
            <left/>
            <right/>
            <top/>
            <bottom/>
            <vertical/>
            <horizontal/>
          </border>
        </dxf>
        <dxf>
          <font>
            <sz val="9"/>
            <color theme="1" tint="0.499984740745262"/>
          </font>
        </dxf>
        <dxf>
          <font>
            <sz val="9"/>
            <color theme="1" tint="0.499984740745262"/>
          </font>
        </dxf>
        <dxf>
          <font>
            <sz val="9"/>
            <color theme="1" tint="0.499984740745262"/>
          </font>
        </dxf>
        <dxf>
          <font>
            <b/>
            <i val="0"/>
            <sz val="10"/>
            <color rgb="FF002060"/>
            <name val="Calibri"/>
            <family val="2"/>
            <scheme val="minor"/>
          </font>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MADE DASHBOARD ......xlsx]Pivot Chart!PivotTable8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accent1"/>
            </a:solidFill>
            <a:round/>
          </a:ln>
          <a:effectLst/>
        </c:spPr>
      </c:pivotFmt>
      <c:pivotFmt>
        <c:idx val="8"/>
        <c:spPr>
          <a:solidFill>
            <a:schemeClr val="accent1"/>
          </a:solidFill>
          <a:ln>
            <a:solidFill>
              <a:schemeClr val="accent1"/>
            </a:solidFill>
            <a:round/>
          </a:ln>
          <a:effectLst/>
        </c:spPr>
      </c:pivotFmt>
      <c:pivotFmt>
        <c:idx val="9"/>
        <c:spPr>
          <a:solidFill>
            <a:srgbClr val="2F6DB5"/>
          </a:solidFill>
          <a:ln>
            <a:solidFill>
              <a:schemeClr val="accent1"/>
            </a:solidFill>
            <a:round/>
          </a:ln>
          <a:effectLst/>
        </c:spPr>
      </c:pivotFmt>
      <c:pivotFmt>
        <c:idx val="10"/>
        <c:spPr>
          <a:solidFill>
            <a:srgbClr val="2F6DB5"/>
          </a:solidFill>
          <a:ln>
            <a:solidFill>
              <a:schemeClr val="accent1"/>
            </a:solidFill>
            <a:round/>
          </a:ln>
          <a:effectLst/>
        </c:spPr>
      </c:pivotFmt>
      <c:pivotFmt>
        <c:idx val="11"/>
        <c:spPr>
          <a:solidFill>
            <a:srgbClr val="2F6DB5"/>
          </a:solidFill>
          <a:ln>
            <a:solidFill>
              <a:schemeClr val="accent1"/>
            </a:solidFill>
            <a:round/>
          </a:ln>
          <a:effectLst/>
        </c:spPr>
      </c:pivotFmt>
      <c:pivotFmt>
        <c:idx val="12"/>
        <c:spPr>
          <a:solidFill>
            <a:srgbClr val="9DBFE3"/>
          </a:solidFill>
          <a:ln>
            <a:solidFill>
              <a:schemeClr val="accent1"/>
            </a:solidFill>
            <a:round/>
          </a:ln>
          <a:effectLst/>
        </c:spPr>
      </c:pivotFmt>
      <c:pivotFmt>
        <c:idx val="13"/>
        <c:spPr>
          <a:solidFill>
            <a:srgbClr val="9DBFE3"/>
          </a:solidFill>
          <a:ln>
            <a:solidFill>
              <a:schemeClr val="accent1"/>
            </a:solidFill>
            <a:round/>
          </a:ln>
          <a:effectLst/>
        </c:spPr>
      </c:pivotFmt>
      <c:pivotFmt>
        <c:idx val="14"/>
        <c:spPr>
          <a:solidFill>
            <a:srgbClr val="9DBFE3"/>
          </a:solidFill>
          <a:ln>
            <a:solidFill>
              <a:schemeClr val="accent1"/>
            </a:solidFill>
            <a:round/>
          </a:ln>
          <a:effectLst/>
        </c:spPr>
      </c:pivotFmt>
    </c:pivotFmts>
    <c:plotArea>
      <c:layout/>
      <c:barChart>
        <c:barDir val="bar"/>
        <c:grouping val="clustered"/>
        <c:varyColors val="0"/>
        <c:ser>
          <c:idx val="0"/>
          <c:order val="0"/>
          <c:tx>
            <c:strRef>
              <c:f>'Pivot Chart'!$B$2</c:f>
              <c:strCache>
                <c:ptCount val="1"/>
                <c:pt idx="0">
                  <c:v>Total</c:v>
                </c:pt>
              </c:strCache>
            </c:strRef>
          </c:tx>
          <c:spPr>
            <a:solidFill>
              <a:schemeClr val="accent1"/>
            </a:solidFill>
            <a:ln>
              <a:solidFill>
                <a:schemeClr val="accent1"/>
              </a:solidFill>
              <a:round/>
            </a:ln>
            <a:effectLst/>
          </c:spPr>
          <c:invertIfNegative val="0"/>
          <c:dPt>
            <c:idx val="0"/>
            <c:invertIfNegative val="0"/>
            <c:bubble3D val="0"/>
            <c:spPr>
              <a:solidFill>
                <a:srgbClr val="9DBFE3"/>
              </a:solidFill>
              <a:ln>
                <a:solidFill>
                  <a:schemeClr val="accent1"/>
                </a:solidFill>
                <a:round/>
              </a:ln>
              <a:effectLst/>
            </c:spPr>
            <c:extLst>
              <c:ext xmlns:c16="http://schemas.microsoft.com/office/drawing/2014/chart" uri="{C3380CC4-5D6E-409C-BE32-E72D297353CC}">
                <c16:uniqueId val="{0000000B-D440-4DC2-8F8B-95FD9A402067}"/>
              </c:ext>
            </c:extLst>
          </c:dPt>
          <c:dPt>
            <c:idx val="1"/>
            <c:invertIfNegative val="0"/>
            <c:bubble3D val="0"/>
            <c:spPr>
              <a:solidFill>
                <a:srgbClr val="9DBFE3"/>
              </a:solidFill>
              <a:ln>
                <a:solidFill>
                  <a:schemeClr val="accent1"/>
                </a:solidFill>
                <a:round/>
              </a:ln>
              <a:effectLst/>
            </c:spPr>
            <c:extLst>
              <c:ext xmlns:c16="http://schemas.microsoft.com/office/drawing/2014/chart" uri="{C3380CC4-5D6E-409C-BE32-E72D297353CC}">
                <c16:uniqueId val="{0000000A-D440-4DC2-8F8B-95FD9A402067}"/>
              </c:ext>
            </c:extLst>
          </c:dPt>
          <c:dPt>
            <c:idx val="2"/>
            <c:invertIfNegative val="0"/>
            <c:bubble3D val="0"/>
            <c:spPr>
              <a:solidFill>
                <a:srgbClr val="9DBFE3"/>
              </a:solidFill>
              <a:ln>
                <a:solidFill>
                  <a:schemeClr val="accent1"/>
                </a:solidFill>
                <a:round/>
              </a:ln>
              <a:effectLst/>
            </c:spPr>
            <c:extLst>
              <c:ext xmlns:c16="http://schemas.microsoft.com/office/drawing/2014/chart" uri="{C3380CC4-5D6E-409C-BE32-E72D297353CC}">
                <c16:uniqueId val="{00000009-D440-4DC2-8F8B-95FD9A402067}"/>
              </c:ext>
            </c:extLst>
          </c:dPt>
          <c:dPt>
            <c:idx val="3"/>
            <c:invertIfNegative val="0"/>
            <c:bubble3D val="0"/>
            <c:spPr>
              <a:solidFill>
                <a:srgbClr val="2F6DB5"/>
              </a:solidFill>
              <a:ln>
                <a:solidFill>
                  <a:schemeClr val="accent1"/>
                </a:solidFill>
                <a:round/>
              </a:ln>
              <a:effectLst/>
            </c:spPr>
            <c:extLst>
              <c:ext xmlns:c16="http://schemas.microsoft.com/office/drawing/2014/chart" uri="{C3380CC4-5D6E-409C-BE32-E72D297353CC}">
                <c16:uniqueId val="{00000008-D440-4DC2-8F8B-95FD9A402067}"/>
              </c:ext>
            </c:extLst>
          </c:dPt>
          <c:dPt>
            <c:idx val="4"/>
            <c:invertIfNegative val="0"/>
            <c:bubble3D val="0"/>
            <c:spPr>
              <a:solidFill>
                <a:srgbClr val="2F6DB5"/>
              </a:solidFill>
              <a:ln>
                <a:solidFill>
                  <a:schemeClr val="accent1"/>
                </a:solidFill>
                <a:round/>
              </a:ln>
              <a:effectLst/>
            </c:spPr>
            <c:extLst>
              <c:ext xmlns:c16="http://schemas.microsoft.com/office/drawing/2014/chart" uri="{C3380CC4-5D6E-409C-BE32-E72D297353CC}">
                <c16:uniqueId val="{00000007-D440-4DC2-8F8B-95FD9A402067}"/>
              </c:ext>
            </c:extLst>
          </c:dPt>
          <c:dPt>
            <c:idx val="5"/>
            <c:invertIfNegative val="0"/>
            <c:bubble3D val="0"/>
            <c:spPr>
              <a:solidFill>
                <a:srgbClr val="2F6DB5"/>
              </a:solidFill>
              <a:ln>
                <a:solidFill>
                  <a:schemeClr val="accent1"/>
                </a:solidFill>
                <a:round/>
              </a:ln>
              <a:effectLst/>
            </c:spPr>
            <c:extLst>
              <c:ext xmlns:c16="http://schemas.microsoft.com/office/drawing/2014/chart" uri="{C3380CC4-5D6E-409C-BE32-E72D297353CC}">
                <c16:uniqueId val="{00000006-D440-4DC2-8F8B-95FD9A402067}"/>
              </c:ext>
            </c:extLst>
          </c:dPt>
          <c:dPt>
            <c:idx val="6"/>
            <c:invertIfNegative val="0"/>
            <c:bubble3D val="0"/>
            <c:spPr>
              <a:solidFill>
                <a:schemeClr val="accent1"/>
              </a:solidFill>
              <a:ln>
                <a:solidFill>
                  <a:schemeClr val="accent1"/>
                </a:solidFill>
                <a:round/>
              </a:ln>
              <a:effectLst/>
            </c:spPr>
            <c:extLst>
              <c:ext xmlns:c16="http://schemas.microsoft.com/office/drawing/2014/chart" uri="{C3380CC4-5D6E-409C-BE32-E72D297353CC}">
                <c16:uniqueId val="{00000001-D440-4DC2-8F8B-95FD9A402067}"/>
              </c:ext>
            </c:extLst>
          </c:dPt>
          <c:dPt>
            <c:idx val="7"/>
            <c:invertIfNegative val="0"/>
            <c:bubble3D val="0"/>
            <c:spPr>
              <a:solidFill>
                <a:schemeClr val="accent1"/>
              </a:solidFill>
              <a:ln>
                <a:solidFill>
                  <a:schemeClr val="accent1"/>
                </a:solidFill>
                <a:round/>
              </a:ln>
              <a:effectLst/>
            </c:spPr>
            <c:extLst>
              <c:ext xmlns:c16="http://schemas.microsoft.com/office/drawing/2014/chart" uri="{C3380CC4-5D6E-409C-BE32-E72D297353CC}">
                <c16:uniqueId val="{00000003-D440-4DC2-8F8B-95FD9A40206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Chart'!$A$3:$A$10</c:f>
              <c:strCache>
                <c:ptCount val="8"/>
                <c:pt idx="0">
                  <c:v>Emergency Medicine</c:v>
                </c:pt>
                <c:pt idx="1">
                  <c:v>Paediatrics</c:v>
                </c:pt>
                <c:pt idx="2">
                  <c:v>Respiratory</c:v>
                </c:pt>
                <c:pt idx="3">
                  <c:v>Cardiology</c:v>
                </c:pt>
                <c:pt idx="4">
                  <c:v>Orthopaedics</c:v>
                </c:pt>
                <c:pt idx="5">
                  <c:v>Neurology</c:v>
                </c:pt>
                <c:pt idx="6">
                  <c:v>Oncology</c:v>
                </c:pt>
                <c:pt idx="7">
                  <c:v>General Medicine</c:v>
                </c:pt>
              </c:strCache>
            </c:strRef>
          </c:cat>
          <c:val>
            <c:numRef>
              <c:f>'Pivot Chart'!$B$3:$B$10</c:f>
              <c:numCache>
                <c:formatCode>General</c:formatCode>
                <c:ptCount val="8"/>
                <c:pt idx="0">
                  <c:v>29</c:v>
                </c:pt>
                <c:pt idx="1">
                  <c:v>32</c:v>
                </c:pt>
                <c:pt idx="2">
                  <c:v>32</c:v>
                </c:pt>
                <c:pt idx="3">
                  <c:v>38</c:v>
                </c:pt>
                <c:pt idx="4">
                  <c:v>40</c:v>
                </c:pt>
                <c:pt idx="5">
                  <c:v>41</c:v>
                </c:pt>
                <c:pt idx="6">
                  <c:v>44</c:v>
                </c:pt>
                <c:pt idx="7">
                  <c:v>44</c:v>
                </c:pt>
              </c:numCache>
            </c:numRef>
          </c:val>
          <c:extLst>
            <c:ext xmlns:c16="http://schemas.microsoft.com/office/drawing/2014/chart" uri="{C3380CC4-5D6E-409C-BE32-E72D297353CC}">
              <c16:uniqueId val="{00000004-D440-4DC2-8F8B-95FD9A402067}"/>
            </c:ext>
          </c:extLst>
        </c:ser>
        <c:dLbls>
          <c:dLblPos val="outEnd"/>
          <c:showLegendKey val="0"/>
          <c:showVal val="1"/>
          <c:showCatName val="0"/>
          <c:showSerName val="0"/>
          <c:showPercent val="0"/>
          <c:showBubbleSize val="0"/>
        </c:dLbls>
        <c:gapWidth val="170"/>
        <c:overlap val="-11"/>
        <c:axId val="22807472"/>
        <c:axId val="22810800"/>
      </c:barChart>
      <c:catAx>
        <c:axId val="2280747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10800"/>
        <c:crosses val="autoZero"/>
        <c:auto val="1"/>
        <c:lblAlgn val="ctr"/>
        <c:lblOffset val="100"/>
        <c:noMultiLvlLbl val="0"/>
      </c:catAx>
      <c:valAx>
        <c:axId val="22810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07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MADE DASHBOARD ......xlsx]Pivot Chart!PivotTable8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Encounters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5A623"/>
          </a:solidFill>
          <a:ln>
            <a:noFill/>
          </a:ln>
          <a:effectLst/>
        </c:spPr>
      </c:pivotFmt>
      <c:pivotFmt>
        <c:idx val="2"/>
        <c:spPr>
          <a:solidFill>
            <a:srgbClr val="F5A623"/>
          </a:solidFill>
          <a:ln>
            <a:noFill/>
          </a:ln>
          <a:effectLst/>
        </c:spPr>
      </c:pivotFmt>
    </c:pivotFmts>
    <c:plotArea>
      <c:layout/>
      <c:barChart>
        <c:barDir val="bar"/>
        <c:grouping val="clustered"/>
        <c:varyColors val="0"/>
        <c:ser>
          <c:idx val="0"/>
          <c:order val="0"/>
          <c:tx>
            <c:strRef>
              <c:f>'Pivot Chart'!$B$2</c:f>
              <c:strCache>
                <c:ptCount val="1"/>
                <c:pt idx="0">
                  <c:v>Total</c:v>
                </c:pt>
              </c:strCache>
            </c:strRef>
          </c:tx>
          <c:spPr>
            <a:solidFill>
              <a:schemeClr val="accent1"/>
            </a:solidFill>
            <a:ln>
              <a:noFill/>
            </a:ln>
            <a:effectLst/>
          </c:spPr>
          <c:invertIfNegative val="0"/>
          <c:dPt>
            <c:idx val="6"/>
            <c:invertIfNegative val="0"/>
            <c:bubble3D val="0"/>
            <c:spPr>
              <a:solidFill>
                <a:srgbClr val="F5A623"/>
              </a:solidFill>
              <a:ln>
                <a:noFill/>
              </a:ln>
              <a:effectLst/>
            </c:spPr>
            <c:extLst>
              <c:ext xmlns:c16="http://schemas.microsoft.com/office/drawing/2014/chart" uri="{C3380CC4-5D6E-409C-BE32-E72D297353CC}">
                <c16:uniqueId val="{00000001-14FC-4416-B2FC-212526443D68}"/>
              </c:ext>
            </c:extLst>
          </c:dPt>
          <c:dPt>
            <c:idx val="7"/>
            <c:invertIfNegative val="0"/>
            <c:bubble3D val="0"/>
            <c:spPr>
              <a:solidFill>
                <a:srgbClr val="F5A623"/>
              </a:solidFill>
              <a:ln>
                <a:noFill/>
              </a:ln>
              <a:effectLst/>
            </c:spPr>
            <c:extLst>
              <c:ext xmlns:c16="http://schemas.microsoft.com/office/drawing/2014/chart" uri="{C3380CC4-5D6E-409C-BE32-E72D297353CC}">
                <c16:uniqueId val="{00000003-14FC-4416-B2FC-212526443D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Chart'!$A$3:$A$10</c:f>
              <c:strCache>
                <c:ptCount val="8"/>
                <c:pt idx="0">
                  <c:v>Emergency Medicine</c:v>
                </c:pt>
                <c:pt idx="1">
                  <c:v>Paediatrics</c:v>
                </c:pt>
                <c:pt idx="2">
                  <c:v>Respiratory</c:v>
                </c:pt>
                <c:pt idx="3">
                  <c:v>Cardiology</c:v>
                </c:pt>
                <c:pt idx="4">
                  <c:v>Orthopaedics</c:v>
                </c:pt>
                <c:pt idx="5">
                  <c:v>Neurology</c:v>
                </c:pt>
                <c:pt idx="6">
                  <c:v>Oncology</c:v>
                </c:pt>
                <c:pt idx="7">
                  <c:v>General Medicine</c:v>
                </c:pt>
              </c:strCache>
            </c:strRef>
          </c:cat>
          <c:val>
            <c:numRef>
              <c:f>'Pivot Chart'!$B$3:$B$10</c:f>
              <c:numCache>
                <c:formatCode>General</c:formatCode>
                <c:ptCount val="8"/>
                <c:pt idx="0">
                  <c:v>29</c:v>
                </c:pt>
                <c:pt idx="1">
                  <c:v>32</c:v>
                </c:pt>
                <c:pt idx="2">
                  <c:v>32</c:v>
                </c:pt>
                <c:pt idx="3">
                  <c:v>38</c:v>
                </c:pt>
                <c:pt idx="4">
                  <c:v>40</c:v>
                </c:pt>
                <c:pt idx="5">
                  <c:v>41</c:v>
                </c:pt>
                <c:pt idx="6">
                  <c:v>44</c:v>
                </c:pt>
                <c:pt idx="7">
                  <c:v>44</c:v>
                </c:pt>
              </c:numCache>
            </c:numRef>
          </c:val>
          <c:extLst>
            <c:ext xmlns:c16="http://schemas.microsoft.com/office/drawing/2014/chart" uri="{C3380CC4-5D6E-409C-BE32-E72D297353CC}">
              <c16:uniqueId val="{00000004-068C-488D-9678-3C4A242B74BD}"/>
            </c:ext>
          </c:extLst>
        </c:ser>
        <c:dLbls>
          <c:dLblPos val="outEnd"/>
          <c:showLegendKey val="0"/>
          <c:showVal val="1"/>
          <c:showCatName val="0"/>
          <c:showSerName val="0"/>
          <c:showPercent val="0"/>
          <c:showBubbleSize val="0"/>
        </c:dLbls>
        <c:gapWidth val="142"/>
        <c:overlap val="-5"/>
        <c:axId val="22807472"/>
        <c:axId val="22810800"/>
      </c:barChart>
      <c:catAx>
        <c:axId val="2280747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10800"/>
        <c:crosses val="autoZero"/>
        <c:auto val="1"/>
        <c:lblAlgn val="ctr"/>
        <c:lblOffset val="100"/>
        <c:noMultiLvlLbl val="0"/>
      </c:catAx>
      <c:valAx>
        <c:axId val="22810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07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MADE DASHBOARD ......xlsx]Pivot Chart!PivotTable9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LOS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5A623"/>
          </a:solidFill>
          <a:ln>
            <a:noFill/>
          </a:ln>
          <a:effectLst/>
        </c:spPr>
      </c:pivotFmt>
    </c:pivotFmts>
    <c:plotArea>
      <c:layout/>
      <c:barChart>
        <c:barDir val="col"/>
        <c:grouping val="clustered"/>
        <c:varyColors val="0"/>
        <c:ser>
          <c:idx val="0"/>
          <c:order val="0"/>
          <c:tx>
            <c:strRef>
              <c:f>'Pivot Chart'!$B$18</c:f>
              <c:strCache>
                <c:ptCount val="1"/>
                <c:pt idx="0">
                  <c:v>Total</c:v>
                </c:pt>
              </c:strCache>
            </c:strRef>
          </c:tx>
          <c:spPr>
            <a:solidFill>
              <a:schemeClr val="accent1"/>
            </a:solidFill>
            <a:ln>
              <a:noFill/>
            </a:ln>
            <a:effectLst/>
          </c:spPr>
          <c:invertIfNegative val="0"/>
          <c:dPt>
            <c:idx val="0"/>
            <c:invertIfNegative val="0"/>
            <c:bubble3D val="0"/>
            <c:spPr>
              <a:solidFill>
                <a:srgbClr val="F5A623"/>
              </a:solidFill>
              <a:ln>
                <a:noFill/>
              </a:ln>
              <a:effectLst/>
            </c:spPr>
            <c:extLst>
              <c:ext xmlns:c16="http://schemas.microsoft.com/office/drawing/2014/chart" uri="{C3380CC4-5D6E-409C-BE32-E72D297353CC}">
                <c16:uniqueId val="{00000002-8239-4159-AA45-F0BB273270E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Chart'!$A$19:$A$26</c:f>
              <c:strCache>
                <c:ptCount val="8"/>
                <c:pt idx="0">
                  <c:v>Orthopaedics</c:v>
                </c:pt>
                <c:pt idx="1">
                  <c:v>Oncology</c:v>
                </c:pt>
                <c:pt idx="2">
                  <c:v>Respiratory</c:v>
                </c:pt>
                <c:pt idx="3">
                  <c:v>Neurology</c:v>
                </c:pt>
                <c:pt idx="4">
                  <c:v>Cardiology</c:v>
                </c:pt>
                <c:pt idx="5">
                  <c:v>General Medicine</c:v>
                </c:pt>
                <c:pt idx="6">
                  <c:v>Paediatrics</c:v>
                </c:pt>
                <c:pt idx="7">
                  <c:v>Emergency Medicine</c:v>
                </c:pt>
              </c:strCache>
            </c:strRef>
          </c:cat>
          <c:val>
            <c:numRef>
              <c:f>'Pivot Chart'!$B$19:$B$26</c:f>
              <c:numCache>
                <c:formatCode>0</c:formatCode>
                <c:ptCount val="8"/>
                <c:pt idx="0">
                  <c:v>7.5824999999999987</c:v>
                </c:pt>
                <c:pt idx="1">
                  <c:v>6.9886363636363651</c:v>
                </c:pt>
                <c:pt idx="2">
                  <c:v>5.3156249999999989</c:v>
                </c:pt>
                <c:pt idx="3">
                  <c:v>5.2926829268292686</c:v>
                </c:pt>
                <c:pt idx="4">
                  <c:v>5.1157894736842122</c:v>
                </c:pt>
                <c:pt idx="5">
                  <c:v>3.8159090909090905</c:v>
                </c:pt>
                <c:pt idx="6">
                  <c:v>3.2562500000000001</c:v>
                </c:pt>
                <c:pt idx="7">
                  <c:v>1.2896551724137932</c:v>
                </c:pt>
              </c:numCache>
            </c:numRef>
          </c:val>
          <c:extLst>
            <c:ext xmlns:c16="http://schemas.microsoft.com/office/drawing/2014/chart" uri="{C3380CC4-5D6E-409C-BE32-E72D297353CC}">
              <c16:uniqueId val="{00000000-8239-4159-AA45-F0BB273270E5}"/>
            </c:ext>
          </c:extLst>
        </c:ser>
        <c:dLbls>
          <c:dLblPos val="outEnd"/>
          <c:showLegendKey val="0"/>
          <c:showVal val="1"/>
          <c:showCatName val="0"/>
          <c:showSerName val="0"/>
          <c:showPercent val="0"/>
          <c:showBubbleSize val="0"/>
        </c:dLbls>
        <c:gapWidth val="219"/>
        <c:overlap val="-27"/>
        <c:axId val="30314624"/>
        <c:axId val="30316704"/>
      </c:barChart>
      <c:catAx>
        <c:axId val="303146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16704"/>
        <c:crosses val="autoZero"/>
        <c:auto val="1"/>
        <c:lblAlgn val="ctr"/>
        <c:lblOffset val="100"/>
        <c:noMultiLvlLbl val="0"/>
      </c:catAx>
      <c:valAx>
        <c:axId val="303167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14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MADE DASHBOARD ......xlsx]Pivot Chart!PivotTable10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Admission</a:t>
            </a:r>
            <a:r>
              <a:rPr lang="en-US" baseline="0"/>
              <a: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Chart'!$B$33</c:f>
              <c:strCache>
                <c:ptCount val="1"/>
                <c:pt idx="0">
                  <c:v>Total</c:v>
                </c:pt>
              </c:strCache>
            </c:strRef>
          </c:tx>
          <c:spPr>
            <a:solidFill>
              <a:schemeClr val="accent1"/>
            </a:solidFill>
            <a:ln>
              <a:noFill/>
            </a:ln>
            <a:effectLst/>
          </c:spPr>
          <c:cat>
            <c:strRef>
              <c:f>'Pivot Chart'!$A$34:$A$45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Chart'!$B$34:$B$45</c:f>
              <c:numCache>
                <c:formatCode>0</c:formatCode>
                <c:ptCount val="12"/>
                <c:pt idx="0">
                  <c:v>25</c:v>
                </c:pt>
                <c:pt idx="1">
                  <c:v>19</c:v>
                </c:pt>
                <c:pt idx="2">
                  <c:v>28</c:v>
                </c:pt>
                <c:pt idx="3">
                  <c:v>35</c:v>
                </c:pt>
                <c:pt idx="4">
                  <c:v>37</c:v>
                </c:pt>
                <c:pt idx="5">
                  <c:v>21</c:v>
                </c:pt>
                <c:pt idx="6">
                  <c:v>26</c:v>
                </c:pt>
                <c:pt idx="7">
                  <c:v>28</c:v>
                </c:pt>
                <c:pt idx="8">
                  <c:v>17</c:v>
                </c:pt>
                <c:pt idx="9">
                  <c:v>12</c:v>
                </c:pt>
                <c:pt idx="10">
                  <c:v>29</c:v>
                </c:pt>
                <c:pt idx="11">
                  <c:v>23</c:v>
                </c:pt>
              </c:numCache>
            </c:numRef>
          </c:val>
          <c:extLst>
            <c:ext xmlns:c16="http://schemas.microsoft.com/office/drawing/2014/chart" uri="{C3380CC4-5D6E-409C-BE32-E72D297353CC}">
              <c16:uniqueId val="{00000000-DEF2-4611-8E23-505F76E2D69B}"/>
            </c:ext>
          </c:extLst>
        </c:ser>
        <c:dLbls>
          <c:showLegendKey val="0"/>
          <c:showVal val="0"/>
          <c:showCatName val="0"/>
          <c:showSerName val="0"/>
          <c:showPercent val="0"/>
          <c:showBubbleSize val="0"/>
        </c:dLbls>
        <c:axId val="71150336"/>
        <c:axId val="71144928"/>
      </c:areaChart>
      <c:catAx>
        <c:axId val="711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44928"/>
        <c:crosses val="autoZero"/>
        <c:auto val="1"/>
        <c:lblAlgn val="ctr"/>
        <c:lblOffset val="100"/>
        <c:noMultiLvlLbl val="0"/>
      </c:catAx>
      <c:valAx>
        <c:axId val="711449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503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MADE DASHBOARD ......xlsx]Pivot Chart!PivotTable11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Admission</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Chart'!$B$49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E0-40EA-ACA0-F8FA555E45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E0-40EA-ACA0-F8FA555E45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E0-40EA-ACA0-F8FA555E45D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Chart'!$A$50:$A$52</c:f>
              <c:strCache>
                <c:ptCount val="3"/>
                <c:pt idx="0">
                  <c:v>Elective</c:v>
                </c:pt>
                <c:pt idx="1">
                  <c:v>Emergency</c:v>
                </c:pt>
                <c:pt idx="2">
                  <c:v>Urgent</c:v>
                </c:pt>
              </c:strCache>
            </c:strRef>
          </c:cat>
          <c:val>
            <c:numRef>
              <c:f>'Pivot Chart'!$B$50:$B$52</c:f>
              <c:numCache>
                <c:formatCode>0</c:formatCode>
                <c:ptCount val="3"/>
                <c:pt idx="0">
                  <c:v>74</c:v>
                </c:pt>
                <c:pt idx="1">
                  <c:v>156</c:v>
                </c:pt>
                <c:pt idx="2">
                  <c:v>70</c:v>
                </c:pt>
              </c:numCache>
            </c:numRef>
          </c:val>
          <c:extLst>
            <c:ext xmlns:c16="http://schemas.microsoft.com/office/drawing/2014/chart" uri="{C3380CC4-5D6E-409C-BE32-E72D297353CC}">
              <c16:uniqueId val="{00000000-9176-4CB8-955F-8EE00B9E054B}"/>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MADE DASHBOARD ......xlsx]Pivot Chart!PivotTable12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A623"/>
          </a:solidFill>
          <a:ln>
            <a:noFill/>
          </a:ln>
          <a:effectLst/>
        </c:spPr>
      </c:pivotFmt>
      <c:pivotFmt>
        <c:idx val="3"/>
        <c:spPr>
          <a:solidFill>
            <a:srgbClr val="F5A623"/>
          </a:solidFill>
          <a:ln>
            <a:noFill/>
          </a:ln>
          <a:effectLst/>
        </c:spPr>
      </c:pivotFmt>
    </c:pivotFmts>
    <c:plotArea>
      <c:layout/>
      <c:barChart>
        <c:barDir val="col"/>
        <c:grouping val="clustered"/>
        <c:varyColors val="0"/>
        <c:ser>
          <c:idx val="0"/>
          <c:order val="0"/>
          <c:tx>
            <c:strRef>
              <c:f>'Pivot Chart'!$B$65</c:f>
              <c:strCache>
                <c:ptCount val="1"/>
                <c:pt idx="0">
                  <c:v>Count of 30Day_Readmission</c:v>
                </c:pt>
              </c:strCache>
            </c:strRef>
          </c:tx>
          <c:spPr>
            <a:solidFill>
              <a:schemeClr val="accent1"/>
            </a:solidFill>
            <a:ln>
              <a:noFill/>
            </a:ln>
            <a:effectLst/>
          </c:spPr>
          <c:invertIfNegative val="0"/>
          <c:dPt>
            <c:idx val="0"/>
            <c:invertIfNegative val="0"/>
            <c:bubble3D val="0"/>
            <c:spPr>
              <a:solidFill>
                <a:srgbClr val="F5A623"/>
              </a:solidFill>
              <a:ln>
                <a:noFill/>
              </a:ln>
              <a:effectLst/>
            </c:spPr>
            <c:extLst>
              <c:ext xmlns:c16="http://schemas.microsoft.com/office/drawing/2014/chart" uri="{C3380CC4-5D6E-409C-BE32-E72D297353CC}">
                <c16:uniqueId val="{00000003-E9AC-4635-BA98-CBB89BA0E0E3}"/>
              </c:ext>
            </c:extLst>
          </c:dPt>
          <c:dPt>
            <c:idx val="1"/>
            <c:invertIfNegative val="0"/>
            <c:bubble3D val="0"/>
            <c:spPr>
              <a:solidFill>
                <a:srgbClr val="F5A623"/>
              </a:solidFill>
              <a:ln>
                <a:noFill/>
              </a:ln>
              <a:effectLst/>
            </c:spPr>
            <c:extLst>
              <c:ext xmlns:c16="http://schemas.microsoft.com/office/drawing/2014/chart" uri="{C3380CC4-5D6E-409C-BE32-E72D297353CC}">
                <c16:uniqueId val="{00000004-E9AC-4635-BA98-CBB89BA0E0E3}"/>
              </c:ext>
            </c:extLst>
          </c:dPt>
          <c:cat>
            <c:strRef>
              <c:f>'Pivot Chart'!$A$66:$A$73</c:f>
              <c:strCache>
                <c:ptCount val="8"/>
                <c:pt idx="0">
                  <c:v>General Medicine</c:v>
                </c:pt>
                <c:pt idx="1">
                  <c:v>Oncology</c:v>
                </c:pt>
                <c:pt idx="2">
                  <c:v>Neurology</c:v>
                </c:pt>
                <c:pt idx="3">
                  <c:v>Orthopaedics</c:v>
                </c:pt>
                <c:pt idx="4">
                  <c:v>Cardiology</c:v>
                </c:pt>
                <c:pt idx="5">
                  <c:v>Respiratory</c:v>
                </c:pt>
                <c:pt idx="6">
                  <c:v>Paediatrics</c:v>
                </c:pt>
                <c:pt idx="7">
                  <c:v>Emergency Medicine</c:v>
                </c:pt>
              </c:strCache>
            </c:strRef>
          </c:cat>
          <c:val>
            <c:numRef>
              <c:f>'Pivot Chart'!$B$66:$B$73</c:f>
              <c:numCache>
                <c:formatCode>0</c:formatCode>
                <c:ptCount val="8"/>
                <c:pt idx="0">
                  <c:v>44</c:v>
                </c:pt>
                <c:pt idx="1">
                  <c:v>44</c:v>
                </c:pt>
                <c:pt idx="2">
                  <c:v>41</c:v>
                </c:pt>
                <c:pt idx="3">
                  <c:v>40</c:v>
                </c:pt>
                <c:pt idx="4">
                  <c:v>38</c:v>
                </c:pt>
                <c:pt idx="5">
                  <c:v>32</c:v>
                </c:pt>
                <c:pt idx="6">
                  <c:v>32</c:v>
                </c:pt>
                <c:pt idx="7">
                  <c:v>29</c:v>
                </c:pt>
              </c:numCache>
            </c:numRef>
          </c:val>
          <c:extLst>
            <c:ext xmlns:c16="http://schemas.microsoft.com/office/drawing/2014/chart" uri="{C3380CC4-5D6E-409C-BE32-E72D297353CC}">
              <c16:uniqueId val="{00000000-E9AC-4635-BA98-CBB89BA0E0E3}"/>
            </c:ext>
          </c:extLst>
        </c:ser>
        <c:dLbls>
          <c:showLegendKey val="0"/>
          <c:showVal val="0"/>
          <c:showCatName val="0"/>
          <c:showSerName val="0"/>
          <c:showPercent val="0"/>
          <c:showBubbleSize val="0"/>
        </c:dLbls>
        <c:gapWidth val="219"/>
        <c:overlap val="-27"/>
        <c:axId val="22816624"/>
        <c:axId val="22817040"/>
      </c:barChart>
      <c:lineChart>
        <c:grouping val="standard"/>
        <c:varyColors val="0"/>
        <c:ser>
          <c:idx val="1"/>
          <c:order val="1"/>
          <c:tx>
            <c:strRef>
              <c:f>'Pivot Chart'!$C$65</c:f>
              <c:strCache>
                <c:ptCount val="1"/>
                <c:pt idx="0">
                  <c:v>Count of Encounter_ID</c:v>
                </c:pt>
              </c:strCache>
            </c:strRef>
          </c:tx>
          <c:spPr>
            <a:ln w="28575" cap="rnd">
              <a:solidFill>
                <a:schemeClr val="accent2"/>
              </a:solidFill>
              <a:round/>
            </a:ln>
            <a:effectLst/>
          </c:spPr>
          <c:marker>
            <c:symbol val="none"/>
          </c:marker>
          <c:cat>
            <c:strRef>
              <c:f>'Pivot Chart'!$A$66:$A$73</c:f>
              <c:strCache>
                <c:ptCount val="8"/>
                <c:pt idx="0">
                  <c:v>General Medicine</c:v>
                </c:pt>
                <c:pt idx="1">
                  <c:v>Oncology</c:v>
                </c:pt>
                <c:pt idx="2">
                  <c:v>Neurology</c:v>
                </c:pt>
                <c:pt idx="3">
                  <c:v>Orthopaedics</c:v>
                </c:pt>
                <c:pt idx="4">
                  <c:v>Cardiology</c:v>
                </c:pt>
                <c:pt idx="5">
                  <c:v>Respiratory</c:v>
                </c:pt>
                <c:pt idx="6">
                  <c:v>Paediatrics</c:v>
                </c:pt>
                <c:pt idx="7">
                  <c:v>Emergency Medicine</c:v>
                </c:pt>
              </c:strCache>
            </c:strRef>
          </c:cat>
          <c:val>
            <c:numRef>
              <c:f>'Pivot Chart'!$C$66:$C$73</c:f>
              <c:numCache>
                <c:formatCode>0</c:formatCode>
                <c:ptCount val="8"/>
                <c:pt idx="0">
                  <c:v>44</c:v>
                </c:pt>
                <c:pt idx="1">
                  <c:v>44</c:v>
                </c:pt>
                <c:pt idx="2">
                  <c:v>41</c:v>
                </c:pt>
                <c:pt idx="3">
                  <c:v>40</c:v>
                </c:pt>
                <c:pt idx="4">
                  <c:v>38</c:v>
                </c:pt>
                <c:pt idx="5">
                  <c:v>32</c:v>
                </c:pt>
                <c:pt idx="6">
                  <c:v>32</c:v>
                </c:pt>
                <c:pt idx="7">
                  <c:v>29</c:v>
                </c:pt>
              </c:numCache>
            </c:numRef>
          </c:val>
          <c:smooth val="0"/>
          <c:extLst>
            <c:ext xmlns:c16="http://schemas.microsoft.com/office/drawing/2014/chart" uri="{C3380CC4-5D6E-409C-BE32-E72D297353CC}">
              <c16:uniqueId val="{00000001-E9AC-4635-BA98-CBB89BA0E0E3}"/>
            </c:ext>
          </c:extLst>
        </c:ser>
        <c:dLbls>
          <c:showLegendKey val="0"/>
          <c:showVal val="0"/>
          <c:showCatName val="0"/>
          <c:showSerName val="0"/>
          <c:showPercent val="0"/>
          <c:showBubbleSize val="0"/>
        </c:dLbls>
        <c:marker val="1"/>
        <c:smooth val="0"/>
        <c:axId val="22809968"/>
        <c:axId val="22819536"/>
      </c:lineChart>
      <c:catAx>
        <c:axId val="2281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17040"/>
        <c:crosses val="autoZero"/>
        <c:auto val="1"/>
        <c:lblAlgn val="ctr"/>
        <c:lblOffset val="100"/>
        <c:noMultiLvlLbl val="0"/>
      </c:catAx>
      <c:valAx>
        <c:axId val="228170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16624"/>
        <c:crosses val="autoZero"/>
        <c:crossBetween val="between"/>
      </c:valAx>
      <c:valAx>
        <c:axId val="22819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09968"/>
        <c:crosses val="max"/>
        <c:crossBetween val="between"/>
      </c:valAx>
      <c:catAx>
        <c:axId val="22809968"/>
        <c:scaling>
          <c:orientation val="minMax"/>
        </c:scaling>
        <c:delete val="1"/>
        <c:axPos val="b"/>
        <c:numFmt formatCode="General" sourceLinked="1"/>
        <c:majorTickMark val="out"/>
        <c:minorTickMark val="none"/>
        <c:tickLblPos val="nextTo"/>
        <c:crossAx val="2281953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MADE DASHBOARD ......xlsx]Pivot Chart!PivotTable2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Chart'!$G$80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Chart'!$F$81:$F$94</c:f>
              <c:strCache>
                <c:ptCount val="14"/>
                <c:pt idx="0">
                  <c:v>Epilepsy</c:v>
                </c:pt>
                <c:pt idx="1">
                  <c:v>Sepsis</c:v>
                </c:pt>
                <c:pt idx="2">
                  <c:v>Arrhythmia</c:v>
                </c:pt>
                <c:pt idx="3">
                  <c:v>Atrial Fibrillation</c:v>
                </c:pt>
                <c:pt idx="4">
                  <c:v>Cellulitis</c:v>
                </c:pt>
                <c:pt idx="5">
                  <c:v>Colorectal Cancer</c:v>
                </c:pt>
                <c:pt idx="6">
                  <c:v>Breast Cancer</c:v>
                </c:pt>
                <c:pt idx="7">
                  <c:v>Knee Replacement</c:v>
                </c:pt>
                <c:pt idx="8">
                  <c:v>Asthma Attack</c:v>
                </c:pt>
                <c:pt idx="9">
                  <c:v>Stroke</c:v>
                </c:pt>
                <c:pt idx="10">
                  <c:v>Asthma</c:v>
                </c:pt>
                <c:pt idx="11">
                  <c:v>DVT</c:v>
                </c:pt>
                <c:pt idx="12">
                  <c:v>TIA</c:v>
                </c:pt>
                <c:pt idx="13">
                  <c:v>Disc Prolapse</c:v>
                </c:pt>
              </c:strCache>
            </c:strRef>
          </c:cat>
          <c:val>
            <c:numRef>
              <c:f>'Pivot Chart'!$G$81:$G$94</c:f>
              <c:numCache>
                <c:formatCode>General</c:formatCode>
                <c:ptCount val="14"/>
                <c:pt idx="0">
                  <c:v>15</c:v>
                </c:pt>
                <c:pt idx="1">
                  <c:v>14</c:v>
                </c:pt>
                <c:pt idx="2">
                  <c:v>14</c:v>
                </c:pt>
                <c:pt idx="3">
                  <c:v>14</c:v>
                </c:pt>
                <c:pt idx="4">
                  <c:v>13</c:v>
                </c:pt>
                <c:pt idx="5">
                  <c:v>13</c:v>
                </c:pt>
                <c:pt idx="6">
                  <c:v>13</c:v>
                </c:pt>
                <c:pt idx="7">
                  <c:v>12</c:v>
                </c:pt>
                <c:pt idx="8">
                  <c:v>12</c:v>
                </c:pt>
                <c:pt idx="9">
                  <c:v>10</c:v>
                </c:pt>
                <c:pt idx="10">
                  <c:v>10</c:v>
                </c:pt>
                <c:pt idx="11">
                  <c:v>10</c:v>
                </c:pt>
                <c:pt idx="12">
                  <c:v>10</c:v>
                </c:pt>
                <c:pt idx="13">
                  <c:v>10</c:v>
                </c:pt>
              </c:numCache>
            </c:numRef>
          </c:val>
          <c:extLst>
            <c:ext xmlns:c16="http://schemas.microsoft.com/office/drawing/2014/chart" uri="{C3380CC4-5D6E-409C-BE32-E72D297353CC}">
              <c16:uniqueId val="{00000000-18E1-44DD-9F26-83D0C9B9D244}"/>
            </c:ext>
          </c:extLst>
        </c:ser>
        <c:dLbls>
          <c:dLblPos val="outEnd"/>
          <c:showLegendKey val="0"/>
          <c:showVal val="1"/>
          <c:showCatName val="0"/>
          <c:showSerName val="0"/>
          <c:showPercent val="0"/>
          <c:showBubbleSize val="0"/>
        </c:dLbls>
        <c:gapWidth val="182"/>
        <c:axId val="1806069056"/>
        <c:axId val="1806082784"/>
      </c:barChart>
      <c:catAx>
        <c:axId val="18060690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082784"/>
        <c:crosses val="autoZero"/>
        <c:auto val="1"/>
        <c:lblAlgn val="ctr"/>
        <c:lblOffset val="100"/>
        <c:noMultiLvlLbl val="0"/>
      </c:catAx>
      <c:valAx>
        <c:axId val="1806082784"/>
        <c:scaling>
          <c:orientation val="minMax"/>
        </c:scaling>
        <c:delete val="1"/>
        <c:axPos val="t"/>
        <c:numFmt formatCode="#,##0" sourceLinked="0"/>
        <c:majorTickMark val="none"/>
        <c:minorTickMark val="none"/>
        <c:tickLblPos val="nextTo"/>
        <c:crossAx val="1806069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66675</xdr:rowOff>
    </xdr:from>
    <xdr:to>
      <xdr:col>28</xdr:col>
      <xdr:colOff>0</xdr:colOff>
      <xdr:row>2</xdr:row>
      <xdr:rowOff>154081</xdr:rowOff>
    </xdr:to>
    <xdr:sp macro="" textlink="">
      <xdr:nvSpPr>
        <xdr:cNvPr id="2" name="Rectangle: Rounded Corners 1">
          <a:extLst>
            <a:ext uri="{FF2B5EF4-FFF2-40B4-BE49-F238E27FC236}">
              <a16:creationId xmlns:a16="http://schemas.microsoft.com/office/drawing/2014/main" id="{4EB346BB-FAE1-4FB2-8667-63AC5A5AC5BD}"/>
            </a:ext>
          </a:extLst>
        </xdr:cNvPr>
        <xdr:cNvSpPr/>
      </xdr:nvSpPr>
      <xdr:spPr>
        <a:xfrm>
          <a:off x="47625" y="66675"/>
          <a:ext cx="16843375" cy="468406"/>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317500</xdr:colOff>
      <xdr:row>0</xdr:row>
      <xdr:rowOff>56028</xdr:rowOff>
    </xdr:from>
    <xdr:ext cx="14950515" cy="574301"/>
    <xdr:sp macro="" textlink="">
      <xdr:nvSpPr>
        <xdr:cNvPr id="8" name="TextBox 7">
          <a:extLst>
            <a:ext uri="{FF2B5EF4-FFF2-40B4-BE49-F238E27FC236}">
              <a16:creationId xmlns:a16="http://schemas.microsoft.com/office/drawing/2014/main" id="{B3666551-73E6-47B1-B118-269A24A0E062}"/>
            </a:ext>
          </a:extLst>
        </xdr:cNvPr>
        <xdr:cNvSpPr txBox="1"/>
      </xdr:nvSpPr>
      <xdr:spPr>
        <a:xfrm>
          <a:off x="317500" y="56028"/>
          <a:ext cx="14950515" cy="5743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800" b="1">
              <a:solidFill>
                <a:srgbClr val="002060"/>
              </a:solidFill>
            </a:rPr>
            <a:t>HOSPITAL ENCOUNTERS ANALYSIS</a:t>
          </a:r>
          <a:r>
            <a:rPr lang="en-US" sz="2800" b="1" baseline="0">
              <a:solidFill>
                <a:srgbClr val="002060"/>
              </a:solidFill>
            </a:rPr>
            <a:t> REORT FOR THE YEAR (2025)</a:t>
          </a:r>
          <a:endParaRPr lang="en-US" sz="2800" b="1">
            <a:solidFill>
              <a:srgbClr val="002060"/>
            </a:solidFill>
          </a:endParaRPr>
        </a:p>
      </xdr:txBody>
    </xdr:sp>
    <xdr:clientData/>
  </xdr:oneCellAnchor>
  <xdr:twoCellAnchor>
    <xdr:from>
      <xdr:col>0</xdr:col>
      <xdr:colOff>180975</xdr:colOff>
      <xdr:row>3</xdr:row>
      <xdr:rowOff>47625</xdr:rowOff>
    </xdr:from>
    <xdr:to>
      <xdr:col>3</xdr:col>
      <xdr:colOff>400050</xdr:colOff>
      <xdr:row>7</xdr:row>
      <xdr:rowOff>57150</xdr:rowOff>
    </xdr:to>
    <xdr:sp macro="" textlink="">
      <xdr:nvSpPr>
        <xdr:cNvPr id="9" name="Rectangle: Rounded Corners 8">
          <a:extLst>
            <a:ext uri="{FF2B5EF4-FFF2-40B4-BE49-F238E27FC236}">
              <a16:creationId xmlns:a16="http://schemas.microsoft.com/office/drawing/2014/main" id="{8375D825-FBB4-47B6-B9E2-6F4367E87892}"/>
            </a:ext>
          </a:extLst>
        </xdr:cNvPr>
        <xdr:cNvSpPr/>
      </xdr:nvSpPr>
      <xdr:spPr>
        <a:xfrm>
          <a:off x="180975" y="635934"/>
          <a:ext cx="2068046" cy="793937"/>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200025</xdr:colOff>
      <xdr:row>3</xdr:row>
      <xdr:rowOff>38098</xdr:rowOff>
    </xdr:from>
    <xdr:to>
      <xdr:col>1</xdr:col>
      <xdr:colOff>163956</xdr:colOff>
      <xdr:row>7</xdr:row>
      <xdr:rowOff>75298</xdr:rowOff>
    </xdr:to>
    <xdr:pic>
      <xdr:nvPicPr>
        <xdr:cNvPr id="11" name="Graphic 10" descr="Users with solid fill">
          <a:extLst>
            <a:ext uri="{FF2B5EF4-FFF2-40B4-BE49-F238E27FC236}">
              <a16:creationId xmlns:a16="http://schemas.microsoft.com/office/drawing/2014/main" id="{C184104F-7E2E-4537-99A7-8129841CE0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0025" y="609598"/>
          <a:ext cx="573531" cy="799200"/>
        </a:xfrm>
        <a:prstGeom prst="rect">
          <a:avLst/>
        </a:prstGeom>
      </xdr:spPr>
    </xdr:pic>
    <xdr:clientData/>
  </xdr:twoCellAnchor>
  <xdr:oneCellAnchor>
    <xdr:from>
      <xdr:col>1</xdr:col>
      <xdr:colOff>76200</xdr:colOff>
      <xdr:row>3</xdr:row>
      <xdr:rowOff>95250</xdr:rowOff>
    </xdr:from>
    <xdr:ext cx="1508618" cy="280205"/>
    <xdr:sp macro="" textlink="">
      <xdr:nvSpPr>
        <xdr:cNvPr id="22" name="TextBox 21">
          <a:extLst>
            <a:ext uri="{FF2B5EF4-FFF2-40B4-BE49-F238E27FC236}">
              <a16:creationId xmlns:a16="http://schemas.microsoft.com/office/drawing/2014/main" id="{49EA7439-7576-4FE4-9E04-3C72B512A9A2}"/>
            </a:ext>
          </a:extLst>
        </xdr:cNvPr>
        <xdr:cNvSpPr txBox="1"/>
      </xdr:nvSpPr>
      <xdr:spPr>
        <a:xfrm>
          <a:off x="685800" y="666750"/>
          <a:ext cx="150861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rgbClr val="002060"/>
              </a:solidFill>
            </a:rPr>
            <a:t>TOTAL ENCOUNTERS</a:t>
          </a:r>
        </a:p>
      </xdr:txBody>
    </xdr:sp>
    <xdr:clientData/>
  </xdr:oneCellAnchor>
  <xdr:oneCellAnchor>
    <xdr:from>
      <xdr:col>1</xdr:col>
      <xdr:colOff>371474</xdr:colOff>
      <xdr:row>5</xdr:row>
      <xdr:rowOff>9524</xdr:rowOff>
    </xdr:from>
    <xdr:ext cx="942975" cy="483722"/>
    <xdr:sp macro="" textlink="'Pivot KPI'!A5">
      <xdr:nvSpPr>
        <xdr:cNvPr id="23" name="TextBox 22">
          <a:extLst>
            <a:ext uri="{FF2B5EF4-FFF2-40B4-BE49-F238E27FC236}">
              <a16:creationId xmlns:a16="http://schemas.microsoft.com/office/drawing/2014/main" id="{0614D56D-FE96-49AA-B0E2-7E16242917FD}"/>
            </a:ext>
          </a:extLst>
        </xdr:cNvPr>
        <xdr:cNvSpPr txBox="1"/>
      </xdr:nvSpPr>
      <xdr:spPr>
        <a:xfrm>
          <a:off x="987798" y="990039"/>
          <a:ext cx="942975"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07A9891-E857-4EDF-AF4F-3953357D1605}" type="TxLink">
            <a:rPr lang="en-US" sz="2500" b="1" i="0" u="none" strike="noStrike">
              <a:solidFill>
                <a:srgbClr val="002060"/>
              </a:solidFill>
              <a:latin typeface="Calibri"/>
              <a:cs typeface="Calibri"/>
            </a:rPr>
            <a:t>300</a:t>
          </a:fld>
          <a:endParaRPr lang="en-US" sz="2500" b="1">
            <a:solidFill>
              <a:srgbClr val="002060"/>
            </a:solidFill>
          </a:endParaRPr>
        </a:p>
      </xdr:txBody>
    </xdr:sp>
    <xdr:clientData/>
  </xdr:oneCellAnchor>
  <xdr:twoCellAnchor>
    <xdr:from>
      <xdr:col>3</xdr:col>
      <xdr:colOff>464820</xdr:colOff>
      <xdr:row>3</xdr:row>
      <xdr:rowOff>47625</xdr:rowOff>
    </xdr:from>
    <xdr:to>
      <xdr:col>7</xdr:col>
      <xdr:colOff>74295</xdr:colOff>
      <xdr:row>7</xdr:row>
      <xdr:rowOff>57150</xdr:rowOff>
    </xdr:to>
    <xdr:sp macro="" textlink="">
      <xdr:nvSpPr>
        <xdr:cNvPr id="24" name="Rectangle: Rounded Corners 23">
          <a:extLst>
            <a:ext uri="{FF2B5EF4-FFF2-40B4-BE49-F238E27FC236}">
              <a16:creationId xmlns:a16="http://schemas.microsoft.com/office/drawing/2014/main" id="{FEF9924C-4D49-480E-859C-047C55A2D1FB}"/>
            </a:ext>
          </a:extLst>
        </xdr:cNvPr>
        <xdr:cNvSpPr/>
      </xdr:nvSpPr>
      <xdr:spPr>
        <a:xfrm>
          <a:off x="2313791" y="635934"/>
          <a:ext cx="2074769" cy="793937"/>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485776</xdr:colOff>
      <xdr:row>3</xdr:row>
      <xdr:rowOff>57150</xdr:rowOff>
    </xdr:from>
    <xdr:ext cx="1257854" cy="468077"/>
    <xdr:sp macro="" textlink="">
      <xdr:nvSpPr>
        <xdr:cNvPr id="25" name="TextBox 24">
          <a:extLst>
            <a:ext uri="{FF2B5EF4-FFF2-40B4-BE49-F238E27FC236}">
              <a16:creationId xmlns:a16="http://schemas.microsoft.com/office/drawing/2014/main" id="{8BE1F05F-014E-45EA-A966-F1E4F6B5BFE9}"/>
            </a:ext>
          </a:extLst>
        </xdr:cNvPr>
        <xdr:cNvSpPr txBox="1"/>
      </xdr:nvSpPr>
      <xdr:spPr>
        <a:xfrm>
          <a:off x="2924176" y="628650"/>
          <a:ext cx="1257854"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rgbClr val="002060"/>
              </a:solidFill>
            </a:rPr>
            <a:t>AVG. LENGTH </a:t>
          </a:r>
        </a:p>
        <a:p>
          <a:pPr algn="ctr"/>
          <a:r>
            <a:rPr lang="en-US" sz="1200" b="1">
              <a:solidFill>
                <a:srgbClr val="002060"/>
              </a:solidFill>
            </a:rPr>
            <a:t>OF STAY (DAYS)</a:t>
          </a:r>
        </a:p>
      </xdr:txBody>
    </xdr:sp>
    <xdr:clientData/>
  </xdr:oneCellAnchor>
  <xdr:oneCellAnchor>
    <xdr:from>
      <xdr:col>5</xdr:col>
      <xdr:colOff>257175</xdr:colOff>
      <xdr:row>5</xdr:row>
      <xdr:rowOff>20171</xdr:rowOff>
    </xdr:from>
    <xdr:ext cx="347146" cy="483722"/>
    <xdr:sp macro="" textlink="'Pivot KPI'!C5">
      <xdr:nvSpPr>
        <xdr:cNvPr id="26" name="TextBox 25">
          <a:extLst>
            <a:ext uri="{FF2B5EF4-FFF2-40B4-BE49-F238E27FC236}">
              <a16:creationId xmlns:a16="http://schemas.microsoft.com/office/drawing/2014/main" id="{11752769-9939-469D-80A5-D0B376199DA7}"/>
            </a:ext>
          </a:extLst>
        </xdr:cNvPr>
        <xdr:cNvSpPr txBox="1"/>
      </xdr:nvSpPr>
      <xdr:spPr>
        <a:xfrm>
          <a:off x="3338793" y="1000686"/>
          <a:ext cx="347146"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9C7C41E-AA57-4B71-A600-4AA1E71CB48C}" type="TxLink">
            <a:rPr lang="en-US" sz="2500" b="1" i="0" u="none" strike="noStrike">
              <a:solidFill>
                <a:srgbClr val="002060"/>
              </a:solidFill>
              <a:latin typeface="Calibri"/>
              <a:cs typeface="Calibri"/>
            </a:rPr>
            <a:t>5</a:t>
          </a:fld>
          <a:endParaRPr lang="en-US" sz="2500" b="1">
            <a:solidFill>
              <a:srgbClr val="002060"/>
            </a:solidFill>
          </a:endParaRPr>
        </a:p>
      </xdr:txBody>
    </xdr:sp>
    <xdr:clientData/>
  </xdr:oneCellAnchor>
  <xdr:twoCellAnchor>
    <xdr:from>
      <xdr:col>7</xdr:col>
      <xdr:colOff>139065</xdr:colOff>
      <xdr:row>3</xdr:row>
      <xdr:rowOff>47625</xdr:rowOff>
    </xdr:from>
    <xdr:to>
      <xdr:col>10</xdr:col>
      <xdr:colOff>358140</xdr:colOff>
      <xdr:row>7</xdr:row>
      <xdr:rowOff>57150</xdr:rowOff>
    </xdr:to>
    <xdr:sp macro="" textlink="">
      <xdr:nvSpPr>
        <xdr:cNvPr id="27" name="Rectangle: Rounded Corners 26">
          <a:extLst>
            <a:ext uri="{FF2B5EF4-FFF2-40B4-BE49-F238E27FC236}">
              <a16:creationId xmlns:a16="http://schemas.microsoft.com/office/drawing/2014/main" id="{176603CB-F510-4B09-BBBA-10D5B3B12521}"/>
            </a:ext>
          </a:extLst>
        </xdr:cNvPr>
        <xdr:cNvSpPr/>
      </xdr:nvSpPr>
      <xdr:spPr>
        <a:xfrm>
          <a:off x="4453330" y="635934"/>
          <a:ext cx="2068045" cy="793937"/>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422910</xdr:colOff>
      <xdr:row>3</xdr:row>
      <xdr:rowOff>47625</xdr:rowOff>
    </xdr:from>
    <xdr:to>
      <xdr:col>14</xdr:col>
      <xdr:colOff>32385</xdr:colOff>
      <xdr:row>7</xdr:row>
      <xdr:rowOff>57150</xdr:rowOff>
    </xdr:to>
    <xdr:sp macro="" textlink="">
      <xdr:nvSpPr>
        <xdr:cNvPr id="28" name="Rectangle: Rounded Corners 27">
          <a:extLst>
            <a:ext uri="{FF2B5EF4-FFF2-40B4-BE49-F238E27FC236}">
              <a16:creationId xmlns:a16="http://schemas.microsoft.com/office/drawing/2014/main" id="{969D9F68-3C70-472F-9122-FD1E9270AA6D}"/>
            </a:ext>
          </a:extLst>
        </xdr:cNvPr>
        <xdr:cNvSpPr/>
      </xdr:nvSpPr>
      <xdr:spPr>
        <a:xfrm>
          <a:off x="6586145" y="635934"/>
          <a:ext cx="2074769" cy="793937"/>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97155</xdr:colOff>
      <xdr:row>3</xdr:row>
      <xdr:rowOff>47625</xdr:rowOff>
    </xdr:from>
    <xdr:to>
      <xdr:col>17</xdr:col>
      <xdr:colOff>316230</xdr:colOff>
      <xdr:row>7</xdr:row>
      <xdr:rowOff>57150</xdr:rowOff>
    </xdr:to>
    <xdr:sp macro="" textlink="">
      <xdr:nvSpPr>
        <xdr:cNvPr id="29" name="Rectangle: Rounded Corners 28">
          <a:extLst>
            <a:ext uri="{FF2B5EF4-FFF2-40B4-BE49-F238E27FC236}">
              <a16:creationId xmlns:a16="http://schemas.microsoft.com/office/drawing/2014/main" id="{11E8999E-9315-4321-8E43-DE06FE521900}"/>
            </a:ext>
          </a:extLst>
        </xdr:cNvPr>
        <xdr:cNvSpPr/>
      </xdr:nvSpPr>
      <xdr:spPr>
        <a:xfrm>
          <a:off x="8725684" y="635934"/>
          <a:ext cx="2068046" cy="793937"/>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381000</xdr:colOff>
      <xdr:row>3</xdr:row>
      <xdr:rowOff>47625</xdr:rowOff>
    </xdr:from>
    <xdr:to>
      <xdr:col>20</xdr:col>
      <xdr:colOff>600075</xdr:colOff>
      <xdr:row>7</xdr:row>
      <xdr:rowOff>57150</xdr:rowOff>
    </xdr:to>
    <xdr:sp macro="" textlink="">
      <xdr:nvSpPr>
        <xdr:cNvPr id="30" name="Rectangle: Rounded Corners 29">
          <a:extLst>
            <a:ext uri="{FF2B5EF4-FFF2-40B4-BE49-F238E27FC236}">
              <a16:creationId xmlns:a16="http://schemas.microsoft.com/office/drawing/2014/main" id="{D1B09EEF-1294-4C89-B94D-C48D0BADB3FF}"/>
            </a:ext>
          </a:extLst>
        </xdr:cNvPr>
        <xdr:cNvSpPr/>
      </xdr:nvSpPr>
      <xdr:spPr>
        <a:xfrm>
          <a:off x="10858500" y="635934"/>
          <a:ext cx="2068046" cy="793937"/>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511950</xdr:colOff>
      <xdr:row>3</xdr:row>
      <xdr:rowOff>54751</xdr:rowOff>
    </xdr:from>
    <xdr:to>
      <xdr:col>4</xdr:col>
      <xdr:colOff>505273</xdr:colOff>
      <xdr:row>7</xdr:row>
      <xdr:rowOff>91951</xdr:rowOff>
    </xdr:to>
    <xdr:pic>
      <xdr:nvPicPr>
        <xdr:cNvPr id="19" name="Graphic 18" descr="Sleep with solid fill">
          <a:extLst>
            <a:ext uri="{FF2B5EF4-FFF2-40B4-BE49-F238E27FC236}">
              <a16:creationId xmlns:a16="http://schemas.microsoft.com/office/drawing/2014/main" id="{14E789BD-4FB7-43D4-A92A-02CA60433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340750" y="626251"/>
          <a:ext cx="602923" cy="799200"/>
        </a:xfrm>
        <a:prstGeom prst="rect">
          <a:avLst/>
        </a:prstGeom>
      </xdr:spPr>
    </xdr:pic>
    <xdr:clientData/>
  </xdr:twoCellAnchor>
  <xdr:twoCellAnchor editAs="oneCell">
    <xdr:from>
      <xdr:col>7</xdr:col>
      <xdr:colOff>171451</xdr:colOff>
      <xdr:row>3</xdr:row>
      <xdr:rowOff>66675</xdr:rowOff>
    </xdr:from>
    <xdr:to>
      <xdr:col>8</xdr:col>
      <xdr:colOff>101851</xdr:colOff>
      <xdr:row>7</xdr:row>
      <xdr:rowOff>104775</xdr:rowOff>
    </xdr:to>
    <xdr:pic>
      <xdr:nvPicPr>
        <xdr:cNvPr id="21" name="Graphic 20" descr="Bar chart with solid fill">
          <a:extLst>
            <a:ext uri="{FF2B5EF4-FFF2-40B4-BE49-F238E27FC236}">
              <a16:creationId xmlns:a16="http://schemas.microsoft.com/office/drawing/2014/main" id="{6CB1250A-A226-43D5-A55D-91E5E31E0F5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438651" y="638175"/>
          <a:ext cx="540000" cy="800100"/>
        </a:xfrm>
        <a:prstGeom prst="rect">
          <a:avLst/>
        </a:prstGeom>
      </xdr:spPr>
    </xdr:pic>
    <xdr:clientData/>
  </xdr:twoCellAnchor>
  <xdr:twoCellAnchor editAs="oneCell">
    <xdr:from>
      <xdr:col>10</xdr:col>
      <xdr:colOff>390525</xdr:colOff>
      <xdr:row>3</xdr:row>
      <xdr:rowOff>43705</xdr:rowOff>
    </xdr:from>
    <xdr:to>
      <xdr:col>11</xdr:col>
      <xdr:colOff>378416</xdr:colOff>
      <xdr:row>7</xdr:row>
      <xdr:rowOff>73705</xdr:rowOff>
    </xdr:to>
    <xdr:pic>
      <xdr:nvPicPr>
        <xdr:cNvPr id="17" name="Graphic 16" descr="Building with solid fill">
          <a:extLst>
            <a:ext uri="{FF2B5EF4-FFF2-40B4-BE49-F238E27FC236}">
              <a16:creationId xmlns:a16="http://schemas.microsoft.com/office/drawing/2014/main" id="{B8653E5E-E14E-4AF3-81CB-7EE08F0E51A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6553760" y="632014"/>
          <a:ext cx="604215" cy="814412"/>
        </a:xfrm>
        <a:prstGeom prst="rect">
          <a:avLst/>
        </a:prstGeom>
      </xdr:spPr>
    </xdr:pic>
    <xdr:clientData/>
  </xdr:twoCellAnchor>
  <xdr:twoCellAnchor editAs="oneCell">
    <xdr:from>
      <xdr:col>14</xdr:col>
      <xdr:colOff>28574</xdr:colOff>
      <xdr:row>3</xdr:row>
      <xdr:rowOff>76199</xdr:rowOff>
    </xdr:from>
    <xdr:to>
      <xdr:col>15</xdr:col>
      <xdr:colOff>218174</xdr:colOff>
      <xdr:row>7</xdr:row>
      <xdr:rowOff>113399</xdr:rowOff>
    </xdr:to>
    <xdr:pic>
      <xdr:nvPicPr>
        <xdr:cNvPr id="13" name="Graphic 12" descr="Database with solid fill">
          <a:extLst>
            <a:ext uri="{FF2B5EF4-FFF2-40B4-BE49-F238E27FC236}">
              <a16:creationId xmlns:a16="http://schemas.microsoft.com/office/drawing/2014/main" id="{4DBADAD6-F862-4069-81E1-87C8C0D3BA1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562974" y="647699"/>
          <a:ext cx="799200" cy="799200"/>
        </a:xfrm>
        <a:prstGeom prst="rect">
          <a:avLst/>
        </a:prstGeom>
      </xdr:spPr>
    </xdr:pic>
    <xdr:clientData/>
  </xdr:twoCellAnchor>
  <xdr:twoCellAnchor editAs="oneCell">
    <xdr:from>
      <xdr:col>17</xdr:col>
      <xdr:colOff>404534</xdr:colOff>
      <xdr:row>3</xdr:row>
      <xdr:rowOff>174812</xdr:rowOff>
    </xdr:from>
    <xdr:to>
      <xdr:col>18</xdr:col>
      <xdr:colOff>504265</xdr:colOff>
      <xdr:row>7</xdr:row>
      <xdr:rowOff>120394</xdr:rowOff>
    </xdr:to>
    <xdr:pic>
      <xdr:nvPicPr>
        <xdr:cNvPr id="15" name="Graphic 14" descr="Coins with solid fill">
          <a:extLst>
            <a:ext uri="{FF2B5EF4-FFF2-40B4-BE49-F238E27FC236}">
              <a16:creationId xmlns:a16="http://schemas.microsoft.com/office/drawing/2014/main" id="{366C4E8B-2D35-45BD-B1F5-1BD7E1F1B99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0882034" y="763121"/>
          <a:ext cx="716055" cy="729994"/>
        </a:xfrm>
        <a:prstGeom prst="rect">
          <a:avLst/>
        </a:prstGeom>
      </xdr:spPr>
    </xdr:pic>
    <xdr:clientData/>
  </xdr:twoCellAnchor>
  <xdr:oneCellAnchor>
    <xdr:from>
      <xdr:col>8</xdr:col>
      <xdr:colOff>105897</xdr:colOff>
      <xdr:row>3</xdr:row>
      <xdr:rowOff>55470</xdr:rowOff>
    </xdr:from>
    <xdr:ext cx="1257854" cy="468077"/>
    <xdr:sp macro="" textlink="">
      <xdr:nvSpPr>
        <xdr:cNvPr id="41" name="TextBox 40">
          <a:extLst>
            <a:ext uri="{FF2B5EF4-FFF2-40B4-BE49-F238E27FC236}">
              <a16:creationId xmlns:a16="http://schemas.microsoft.com/office/drawing/2014/main" id="{179EF7BD-E690-484A-9694-05E2D76332A5}"/>
            </a:ext>
          </a:extLst>
        </xdr:cNvPr>
        <xdr:cNvSpPr txBox="1"/>
      </xdr:nvSpPr>
      <xdr:spPr>
        <a:xfrm>
          <a:off x="5036485" y="643779"/>
          <a:ext cx="1257854"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rgbClr val="002060"/>
              </a:solidFill>
            </a:rPr>
            <a:t>30 DAY READMISSION</a:t>
          </a:r>
        </a:p>
      </xdr:txBody>
    </xdr:sp>
    <xdr:clientData/>
  </xdr:oneCellAnchor>
  <xdr:oneCellAnchor>
    <xdr:from>
      <xdr:col>8</xdr:col>
      <xdr:colOff>395568</xdr:colOff>
      <xdr:row>5</xdr:row>
      <xdr:rowOff>4482</xdr:rowOff>
    </xdr:from>
    <xdr:ext cx="743345" cy="483722"/>
    <xdr:sp macro="" textlink="'Pivot KPI'!C9">
      <xdr:nvSpPr>
        <xdr:cNvPr id="42" name="TextBox 41">
          <a:extLst>
            <a:ext uri="{FF2B5EF4-FFF2-40B4-BE49-F238E27FC236}">
              <a16:creationId xmlns:a16="http://schemas.microsoft.com/office/drawing/2014/main" id="{8BFA0427-DB51-4660-A481-D56856AF53EE}"/>
            </a:ext>
          </a:extLst>
        </xdr:cNvPr>
        <xdr:cNvSpPr txBox="1"/>
      </xdr:nvSpPr>
      <xdr:spPr>
        <a:xfrm>
          <a:off x="5326156" y="984997"/>
          <a:ext cx="743345"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7BDFE8B-E762-448E-AD97-27C0B3309E8D}" type="TxLink">
            <a:rPr lang="en-US" sz="2500" b="1" i="0" u="none" strike="noStrike">
              <a:solidFill>
                <a:srgbClr val="002060"/>
              </a:solidFill>
              <a:latin typeface="Calibri"/>
              <a:cs typeface="Calibri"/>
            </a:rPr>
            <a:t>10%</a:t>
          </a:fld>
          <a:endParaRPr lang="en-US" sz="2500" b="1">
            <a:solidFill>
              <a:srgbClr val="002060"/>
            </a:solidFill>
          </a:endParaRPr>
        </a:p>
      </xdr:txBody>
    </xdr:sp>
    <xdr:clientData/>
  </xdr:oneCellAnchor>
  <xdr:oneCellAnchor>
    <xdr:from>
      <xdr:col>11</xdr:col>
      <xdr:colOff>300318</xdr:colOff>
      <xdr:row>3</xdr:row>
      <xdr:rowOff>81803</xdr:rowOff>
    </xdr:from>
    <xdr:ext cx="1464607" cy="468077"/>
    <xdr:sp macro="" textlink="">
      <xdr:nvSpPr>
        <xdr:cNvPr id="43" name="TextBox 42">
          <a:extLst>
            <a:ext uri="{FF2B5EF4-FFF2-40B4-BE49-F238E27FC236}">
              <a16:creationId xmlns:a16="http://schemas.microsoft.com/office/drawing/2014/main" id="{8B82F9AE-39B8-4720-942B-61D981F9D316}"/>
            </a:ext>
          </a:extLst>
        </xdr:cNvPr>
        <xdr:cNvSpPr txBox="1"/>
      </xdr:nvSpPr>
      <xdr:spPr>
        <a:xfrm>
          <a:off x="7079877" y="670112"/>
          <a:ext cx="1464607"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rgbClr val="002060"/>
              </a:solidFill>
            </a:rPr>
            <a:t>AVG. OCCUPANCY RATE</a:t>
          </a:r>
        </a:p>
      </xdr:txBody>
    </xdr:sp>
    <xdr:clientData/>
  </xdr:oneCellAnchor>
  <xdr:oneCellAnchor>
    <xdr:from>
      <xdr:col>12</xdr:col>
      <xdr:colOff>71719</xdr:colOff>
      <xdr:row>5</xdr:row>
      <xdr:rowOff>30816</xdr:rowOff>
    </xdr:from>
    <xdr:ext cx="743345" cy="483722"/>
    <xdr:sp macro="" textlink="'Pivot KPI'!E9">
      <xdr:nvSpPr>
        <xdr:cNvPr id="44" name="TextBox 43">
          <a:extLst>
            <a:ext uri="{FF2B5EF4-FFF2-40B4-BE49-F238E27FC236}">
              <a16:creationId xmlns:a16="http://schemas.microsoft.com/office/drawing/2014/main" id="{47C1B9D8-3DAF-4E5E-AD94-9387A3224506}"/>
            </a:ext>
          </a:extLst>
        </xdr:cNvPr>
        <xdr:cNvSpPr txBox="1"/>
      </xdr:nvSpPr>
      <xdr:spPr>
        <a:xfrm>
          <a:off x="7467601" y="1011331"/>
          <a:ext cx="743345"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CA5DDC7-49F7-4D94-9109-95CB78C14F59}" type="TxLink">
            <a:rPr lang="en-US" sz="2500" b="1" i="0" u="none" strike="noStrike">
              <a:solidFill>
                <a:srgbClr val="002060"/>
              </a:solidFill>
              <a:latin typeface="Calibri"/>
              <a:cs typeface="Calibri"/>
            </a:rPr>
            <a:t>71%</a:t>
          </a:fld>
          <a:endParaRPr lang="en-US" sz="2500" b="1">
            <a:solidFill>
              <a:srgbClr val="002060"/>
            </a:solidFill>
          </a:endParaRPr>
        </a:p>
      </xdr:txBody>
    </xdr:sp>
    <xdr:clientData/>
  </xdr:oneCellAnchor>
  <xdr:oneCellAnchor>
    <xdr:from>
      <xdr:col>15</xdr:col>
      <xdr:colOff>18489</xdr:colOff>
      <xdr:row>3</xdr:row>
      <xdr:rowOff>66114</xdr:rowOff>
    </xdr:from>
    <xdr:ext cx="1464607" cy="468077"/>
    <xdr:sp macro="" textlink="">
      <xdr:nvSpPr>
        <xdr:cNvPr id="45" name="TextBox 44">
          <a:extLst>
            <a:ext uri="{FF2B5EF4-FFF2-40B4-BE49-F238E27FC236}">
              <a16:creationId xmlns:a16="http://schemas.microsoft.com/office/drawing/2014/main" id="{468BEEB2-3111-4D34-91A9-C304221BF1D6}"/>
            </a:ext>
          </a:extLst>
        </xdr:cNvPr>
        <xdr:cNvSpPr txBox="1"/>
      </xdr:nvSpPr>
      <xdr:spPr>
        <a:xfrm>
          <a:off x="9263342" y="654423"/>
          <a:ext cx="1464607"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rgbClr val="002060"/>
              </a:solidFill>
            </a:rPr>
            <a:t>TOTAL COST</a:t>
          </a:r>
          <a:r>
            <a:rPr lang="en-US" sz="1200" b="1" baseline="0">
              <a:solidFill>
                <a:srgbClr val="002060"/>
              </a:solidFill>
            </a:rPr>
            <a:t> </a:t>
          </a:r>
          <a:r>
            <a:rPr lang="en-US" sz="1200" b="1">
              <a:solidFill>
                <a:srgbClr val="002060"/>
              </a:solidFill>
            </a:rPr>
            <a:t>(NAIRA)</a:t>
          </a:r>
        </a:p>
      </xdr:txBody>
    </xdr:sp>
    <xdr:clientData/>
  </xdr:oneCellAnchor>
  <xdr:oneCellAnchor>
    <xdr:from>
      <xdr:col>15</xdr:col>
      <xdr:colOff>84045</xdr:colOff>
      <xdr:row>5</xdr:row>
      <xdr:rowOff>15128</xdr:rowOff>
    </xdr:from>
    <xdr:ext cx="1300612" cy="483722"/>
    <xdr:sp macro="" textlink="'Pivot KPI'!E5">
      <xdr:nvSpPr>
        <xdr:cNvPr id="46" name="TextBox 45">
          <a:extLst>
            <a:ext uri="{FF2B5EF4-FFF2-40B4-BE49-F238E27FC236}">
              <a16:creationId xmlns:a16="http://schemas.microsoft.com/office/drawing/2014/main" id="{F622F968-0DFE-4E84-9E84-585566459787}"/>
            </a:ext>
          </a:extLst>
        </xdr:cNvPr>
        <xdr:cNvSpPr txBox="1"/>
      </xdr:nvSpPr>
      <xdr:spPr>
        <a:xfrm>
          <a:off x="9132795" y="967628"/>
          <a:ext cx="1300612"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2DD6177-6088-4EE6-B72A-264C7D8C0E7B}" type="TxLink">
            <a:rPr lang="en-US" sz="2500" b="1" i="0" u="none" strike="noStrike">
              <a:solidFill>
                <a:srgbClr val="002060"/>
              </a:solidFill>
              <a:latin typeface="Calibri"/>
              <a:cs typeface="Calibri"/>
            </a:rPr>
            <a:t>₦637,189</a:t>
          </a:fld>
          <a:endParaRPr lang="en-US" sz="2500" b="1">
            <a:solidFill>
              <a:srgbClr val="002060"/>
            </a:solidFill>
          </a:endParaRPr>
        </a:p>
      </xdr:txBody>
    </xdr:sp>
    <xdr:clientData/>
  </xdr:oneCellAnchor>
  <xdr:oneCellAnchor>
    <xdr:from>
      <xdr:col>17</xdr:col>
      <xdr:colOff>588309</xdr:colOff>
      <xdr:row>3</xdr:row>
      <xdr:rowOff>22411</xdr:rowOff>
    </xdr:from>
    <xdr:ext cx="1904999" cy="468077"/>
    <xdr:sp macro="" textlink="">
      <xdr:nvSpPr>
        <xdr:cNvPr id="47" name="TextBox 46">
          <a:extLst>
            <a:ext uri="{FF2B5EF4-FFF2-40B4-BE49-F238E27FC236}">
              <a16:creationId xmlns:a16="http://schemas.microsoft.com/office/drawing/2014/main" id="{5182853B-2D0D-4AB2-AFE4-E7113C5B4CA0}"/>
            </a:ext>
          </a:extLst>
        </xdr:cNvPr>
        <xdr:cNvSpPr txBox="1"/>
      </xdr:nvSpPr>
      <xdr:spPr>
        <a:xfrm>
          <a:off x="11065809" y="610720"/>
          <a:ext cx="1904999"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solidFill>
                <a:srgbClr val="002060"/>
              </a:solidFill>
            </a:rPr>
            <a:t>TOTAL</a:t>
          </a:r>
          <a:r>
            <a:rPr lang="en-US" sz="1200" b="1" baseline="0">
              <a:solidFill>
                <a:srgbClr val="002060"/>
              </a:solidFill>
            </a:rPr>
            <a:t> COST /ENCOUNTER</a:t>
          </a:r>
          <a:r>
            <a:rPr lang="en-US" sz="1200" b="1">
              <a:solidFill>
                <a:srgbClr val="002060"/>
              </a:solidFill>
            </a:rPr>
            <a:t> (NAIRA)</a:t>
          </a:r>
        </a:p>
      </xdr:txBody>
    </xdr:sp>
    <xdr:clientData/>
  </xdr:oneCellAnchor>
  <xdr:oneCellAnchor>
    <xdr:from>
      <xdr:col>18</xdr:col>
      <xdr:colOff>530599</xdr:colOff>
      <xdr:row>4</xdr:row>
      <xdr:rowOff>181535</xdr:rowOff>
    </xdr:from>
    <xdr:ext cx="1138132" cy="483722"/>
    <xdr:sp macro="" textlink="'Pivot KPI'!A9">
      <xdr:nvSpPr>
        <xdr:cNvPr id="48" name="TextBox 47">
          <a:extLst>
            <a:ext uri="{FF2B5EF4-FFF2-40B4-BE49-F238E27FC236}">
              <a16:creationId xmlns:a16="http://schemas.microsoft.com/office/drawing/2014/main" id="{50C5217F-88D9-4F6D-BB06-115D5EDF9649}"/>
            </a:ext>
          </a:extLst>
        </xdr:cNvPr>
        <xdr:cNvSpPr txBox="1"/>
      </xdr:nvSpPr>
      <xdr:spPr>
        <a:xfrm>
          <a:off x="11624423" y="965947"/>
          <a:ext cx="1138132"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8213813-2BDB-4703-94C4-67ED185C5515}" type="TxLink">
            <a:rPr lang="en-US" sz="2500" b="1" i="0" u="none" strike="noStrike">
              <a:solidFill>
                <a:srgbClr val="002060"/>
              </a:solidFill>
              <a:latin typeface="Calibri"/>
              <a:cs typeface="Calibri"/>
            </a:rPr>
            <a:t>₦2,124</a:t>
          </a:fld>
          <a:endParaRPr lang="en-US" sz="2500" b="1">
            <a:solidFill>
              <a:srgbClr val="002060"/>
            </a:solidFill>
          </a:endParaRPr>
        </a:p>
      </xdr:txBody>
    </xdr:sp>
    <xdr:clientData/>
  </xdr:oneCellAnchor>
  <xdr:twoCellAnchor>
    <xdr:from>
      <xdr:col>0</xdr:col>
      <xdr:colOff>0</xdr:colOff>
      <xdr:row>56</xdr:row>
      <xdr:rowOff>159684</xdr:rowOff>
    </xdr:from>
    <xdr:to>
      <xdr:col>28</xdr:col>
      <xdr:colOff>63500</xdr:colOff>
      <xdr:row>58</xdr:row>
      <xdr:rowOff>79375</xdr:rowOff>
    </xdr:to>
    <xdr:sp macro="" textlink="">
      <xdr:nvSpPr>
        <xdr:cNvPr id="49" name="Rectangle: Rounded Corners 48">
          <a:extLst>
            <a:ext uri="{FF2B5EF4-FFF2-40B4-BE49-F238E27FC236}">
              <a16:creationId xmlns:a16="http://schemas.microsoft.com/office/drawing/2014/main" id="{851B3831-DD71-4073-8D1C-FD56FFC790D8}"/>
            </a:ext>
          </a:extLst>
        </xdr:cNvPr>
        <xdr:cNvSpPr/>
      </xdr:nvSpPr>
      <xdr:spPr>
        <a:xfrm>
          <a:off x="0" y="10827684"/>
          <a:ext cx="22574250" cy="30069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202640</xdr:colOff>
      <xdr:row>3</xdr:row>
      <xdr:rowOff>56028</xdr:rowOff>
    </xdr:from>
    <xdr:to>
      <xdr:col>28</xdr:col>
      <xdr:colOff>61633</xdr:colOff>
      <xdr:row>56</xdr:row>
      <xdr:rowOff>174625</xdr:rowOff>
    </xdr:to>
    <xdr:grpSp>
      <xdr:nvGrpSpPr>
        <xdr:cNvPr id="51" name="Group 50">
          <a:extLst>
            <a:ext uri="{FF2B5EF4-FFF2-40B4-BE49-F238E27FC236}">
              <a16:creationId xmlns:a16="http://schemas.microsoft.com/office/drawing/2014/main" id="{51A39CD0-3808-40C8-8594-A22F0C3D30ED}"/>
            </a:ext>
          </a:extLst>
        </xdr:cNvPr>
        <xdr:cNvGrpSpPr/>
      </xdr:nvGrpSpPr>
      <xdr:grpSpPr>
        <a:xfrm>
          <a:off x="14077390" y="627528"/>
          <a:ext cx="2875243" cy="10215097"/>
          <a:chOff x="12970809" y="644337"/>
          <a:chExt cx="2927537" cy="7887075"/>
        </a:xfrm>
      </xdr:grpSpPr>
      <xdr:grpSp>
        <xdr:nvGrpSpPr>
          <xdr:cNvPr id="40" name="Group 39">
            <a:extLst>
              <a:ext uri="{FF2B5EF4-FFF2-40B4-BE49-F238E27FC236}">
                <a16:creationId xmlns:a16="http://schemas.microsoft.com/office/drawing/2014/main" id="{B82CF80E-A284-4343-B991-B1792184E4DD}"/>
              </a:ext>
            </a:extLst>
          </xdr:cNvPr>
          <xdr:cNvGrpSpPr/>
        </xdr:nvGrpSpPr>
        <xdr:grpSpPr>
          <a:xfrm>
            <a:off x="12970809" y="644337"/>
            <a:ext cx="2913529" cy="5534586"/>
            <a:chOff x="12970809" y="644337"/>
            <a:chExt cx="2913529" cy="5534586"/>
          </a:xfrm>
        </xdr:grpSpPr>
        <mc:AlternateContent xmlns:mc="http://schemas.openxmlformats.org/markup-compatibility/2006">
          <mc:Choice xmlns:tsle="http://schemas.microsoft.com/office/drawing/2012/timeslicer" Requires="tsle">
            <xdr:graphicFrame macro="">
              <xdr:nvGraphicFramePr>
                <xdr:cNvPr id="32" name="Admission_Date 1">
                  <a:extLst>
                    <a:ext uri="{FF2B5EF4-FFF2-40B4-BE49-F238E27FC236}">
                      <a16:creationId xmlns:a16="http://schemas.microsoft.com/office/drawing/2014/main" id="{87E3EECE-643E-4B1C-A4E3-2C6EFE93884A}"/>
                    </a:ext>
                  </a:extLst>
                </xdr:cNvPr>
                <xdr:cNvGraphicFramePr/>
              </xdr:nvGraphicFramePr>
              <xdr:xfrm>
                <a:off x="12984816" y="644337"/>
                <a:ext cx="2843493" cy="1371600"/>
              </xdr:xfrm>
              <a:graphic>
                <a:graphicData uri="http://schemas.microsoft.com/office/drawing/2012/timeslicer">
                  <tsle:timeslicer xmlns:tsle="http://schemas.microsoft.com/office/drawing/2012/timeslicer" name="Admission_Date 1"/>
                </a:graphicData>
              </a:graphic>
            </xdr:graphicFrame>
          </mc:Choice>
          <mc:Fallback>
            <xdr:sp macro="" textlink="">
              <xdr:nvSpPr>
                <xdr:cNvPr id="0" name=""/>
                <xdr:cNvSpPr>
                  <a:spLocks noTextEdit="1"/>
                </xdr:cNvSpPr>
              </xdr:nvSpPr>
              <xdr:spPr>
                <a:xfrm>
                  <a:off x="14091147" y="627528"/>
                  <a:ext cx="2792700" cy="177645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mc:Choice xmlns:a14="http://schemas.microsoft.com/office/drawing/2010/main" Requires="a14">
            <xdr:graphicFrame macro="">
              <xdr:nvGraphicFramePr>
                <xdr:cNvPr id="33" name="Department 1">
                  <a:extLst>
                    <a:ext uri="{FF2B5EF4-FFF2-40B4-BE49-F238E27FC236}">
                      <a16:creationId xmlns:a16="http://schemas.microsoft.com/office/drawing/2014/main" id="{F810E9C8-7135-42AB-BF9F-DCD71AA3D895}"/>
                    </a:ext>
                  </a:extLst>
                </xdr:cNvPr>
                <xdr:cNvGraphicFramePr/>
              </xdr:nvGraphicFramePr>
              <xdr:xfrm>
                <a:off x="12998823" y="2081772"/>
                <a:ext cx="2857501" cy="1232646"/>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4104904" y="2489250"/>
                  <a:ext cx="2806458" cy="1596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4" name="Patient_Gender 1">
                  <a:extLst>
                    <a:ext uri="{FF2B5EF4-FFF2-40B4-BE49-F238E27FC236}">
                      <a16:creationId xmlns:a16="http://schemas.microsoft.com/office/drawing/2014/main" id="{E6005E92-6E47-4CE6-8A35-1E1998E70B50}"/>
                    </a:ext>
                  </a:extLst>
                </xdr:cNvPr>
                <xdr:cNvGraphicFramePr/>
              </xdr:nvGraphicFramePr>
              <xdr:xfrm>
                <a:off x="12984815" y="3380253"/>
                <a:ext cx="2885515" cy="638175"/>
              </xdr:xfrm>
              <a:graphic>
                <a:graphicData uri="http://schemas.microsoft.com/office/drawing/2010/slicer">
                  <sle:slicer xmlns:sle="http://schemas.microsoft.com/office/drawing/2010/slicer" name="Patient_Gender 1"/>
                </a:graphicData>
              </a:graphic>
            </xdr:graphicFrame>
          </mc:Choice>
          <mc:Fallback>
            <xdr:sp macro="" textlink="">
              <xdr:nvSpPr>
                <xdr:cNvPr id="0" name=""/>
                <xdr:cNvSpPr>
                  <a:spLocks noTextEdit="1"/>
                </xdr:cNvSpPr>
              </xdr:nvSpPr>
              <xdr:spPr>
                <a:xfrm>
                  <a:off x="14091146" y="4171002"/>
                  <a:ext cx="2833971" cy="826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8" name="Ward 1">
                  <a:extLst>
                    <a:ext uri="{FF2B5EF4-FFF2-40B4-BE49-F238E27FC236}">
                      <a16:creationId xmlns:a16="http://schemas.microsoft.com/office/drawing/2014/main" id="{42E5D90D-00AF-4893-8268-7D5B9E23C09A}"/>
                    </a:ext>
                  </a:extLst>
                </xdr:cNvPr>
                <xdr:cNvGraphicFramePr/>
              </xdr:nvGraphicFramePr>
              <xdr:xfrm>
                <a:off x="12984816" y="4084263"/>
                <a:ext cx="2871508" cy="1228724"/>
              </xdr:xfrm>
              <a:graphic>
                <a:graphicData uri="http://schemas.microsoft.com/office/drawing/2010/slicer">
                  <sle:slicer xmlns:sle="http://schemas.microsoft.com/office/drawing/2010/slicer" name="Ward 1"/>
                </a:graphicData>
              </a:graphic>
            </xdr:graphicFrame>
          </mc:Choice>
          <mc:Fallback>
            <xdr:sp macro="" textlink="">
              <xdr:nvSpPr>
                <xdr:cNvPr id="0" name=""/>
                <xdr:cNvSpPr>
                  <a:spLocks noTextEdit="1"/>
                </xdr:cNvSpPr>
              </xdr:nvSpPr>
              <xdr:spPr>
                <a:xfrm>
                  <a:off x="14091147" y="5082815"/>
                  <a:ext cx="2820215" cy="1591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9" name="Admission_Type 1">
                  <a:extLst>
                    <a:ext uri="{FF2B5EF4-FFF2-40B4-BE49-F238E27FC236}">
                      <a16:creationId xmlns:a16="http://schemas.microsoft.com/office/drawing/2014/main" id="{7B34986B-DEDA-48A7-A865-1738B603F9C4}"/>
                    </a:ext>
                  </a:extLst>
                </xdr:cNvPr>
                <xdr:cNvGraphicFramePr/>
              </xdr:nvGraphicFramePr>
              <xdr:xfrm>
                <a:off x="12970809" y="5378824"/>
                <a:ext cx="2913529" cy="800099"/>
              </xdr:xfrm>
              <a:graphic>
                <a:graphicData uri="http://schemas.microsoft.com/office/drawing/2010/slicer">
                  <sle:slicer xmlns:sle="http://schemas.microsoft.com/office/drawing/2010/slicer" name="Admission_Type 1"/>
                </a:graphicData>
              </a:graphic>
            </xdr:graphicFrame>
          </mc:Choice>
          <mc:Fallback>
            <xdr:sp macro="" textlink="">
              <xdr:nvSpPr>
                <xdr:cNvPr id="0" name=""/>
                <xdr:cNvSpPr>
                  <a:spLocks noTextEdit="1"/>
                </xdr:cNvSpPr>
              </xdr:nvSpPr>
              <xdr:spPr>
                <a:xfrm>
                  <a:off x="14077390" y="6759490"/>
                  <a:ext cx="2861485" cy="1036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mc:Choice xmlns:a14="http://schemas.microsoft.com/office/drawing/2010/main" Requires="a14">
          <xdr:graphicFrame macro="">
            <xdr:nvGraphicFramePr>
              <xdr:cNvPr id="50" name="Consultant_Name 1">
                <a:extLst>
                  <a:ext uri="{FF2B5EF4-FFF2-40B4-BE49-F238E27FC236}">
                    <a16:creationId xmlns:a16="http://schemas.microsoft.com/office/drawing/2014/main" id="{34222279-402A-4E2C-AF79-8D332B7F09DA}"/>
                  </a:ext>
                </a:extLst>
              </xdr:cNvPr>
              <xdr:cNvGraphicFramePr/>
            </xdr:nvGraphicFramePr>
            <xdr:xfrm>
              <a:off x="12984816" y="6261287"/>
              <a:ext cx="2913530" cy="2270125"/>
            </xdr:xfrm>
            <a:graphic>
              <a:graphicData uri="http://schemas.microsoft.com/office/drawing/2010/slicer">
                <sle:slicer xmlns:sle="http://schemas.microsoft.com/office/drawing/2010/slicer" name="Consultant_Name 1"/>
              </a:graphicData>
            </a:graphic>
          </xdr:graphicFrame>
        </mc:Choice>
        <mc:Fallback>
          <xdr:sp macro="" textlink="">
            <xdr:nvSpPr>
              <xdr:cNvPr id="0" name=""/>
              <xdr:cNvSpPr>
                <a:spLocks noTextEdit="1"/>
              </xdr:cNvSpPr>
            </xdr:nvSpPr>
            <xdr:spPr>
              <a:xfrm>
                <a:off x="14091147" y="7902429"/>
                <a:ext cx="2861486" cy="29401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95250</xdr:colOff>
      <xdr:row>7</xdr:row>
      <xdr:rowOff>158750</xdr:rowOff>
    </xdr:from>
    <xdr:to>
      <xdr:col>7</xdr:col>
      <xdr:colOff>490220</xdr:colOff>
      <xdr:row>25</xdr:row>
      <xdr:rowOff>15875</xdr:rowOff>
    </xdr:to>
    <xdr:grpSp>
      <xdr:nvGrpSpPr>
        <xdr:cNvPr id="56" name="Group 55">
          <a:extLst>
            <a:ext uri="{FF2B5EF4-FFF2-40B4-BE49-F238E27FC236}">
              <a16:creationId xmlns:a16="http://schemas.microsoft.com/office/drawing/2014/main" id="{6165F05F-EECD-4322-A911-5E351883243F}"/>
            </a:ext>
          </a:extLst>
        </xdr:cNvPr>
        <xdr:cNvGrpSpPr/>
      </xdr:nvGrpSpPr>
      <xdr:grpSpPr>
        <a:xfrm>
          <a:off x="95250" y="1492250"/>
          <a:ext cx="4617720" cy="3286125"/>
          <a:chOff x="0" y="1492250"/>
          <a:chExt cx="4968875" cy="3317875"/>
        </a:xfrm>
      </xdr:grpSpPr>
      <xdr:sp macro="" textlink="">
        <xdr:nvSpPr>
          <xdr:cNvPr id="53" name="Rectangle: Rounded Corners 52">
            <a:extLst>
              <a:ext uri="{FF2B5EF4-FFF2-40B4-BE49-F238E27FC236}">
                <a16:creationId xmlns:a16="http://schemas.microsoft.com/office/drawing/2014/main" id="{9AD47727-5C16-4C59-811D-93D2B64DBF7F}"/>
              </a:ext>
            </a:extLst>
          </xdr:cNvPr>
          <xdr:cNvSpPr/>
        </xdr:nvSpPr>
        <xdr:spPr>
          <a:xfrm>
            <a:off x="0" y="1492250"/>
            <a:ext cx="4968875" cy="3317875"/>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2" name="Chart 51">
            <a:extLst>
              <a:ext uri="{FF2B5EF4-FFF2-40B4-BE49-F238E27FC236}">
                <a16:creationId xmlns:a16="http://schemas.microsoft.com/office/drawing/2014/main" id="{305B4F26-9F66-4136-A7BD-562140392689}"/>
              </a:ext>
            </a:extLst>
          </xdr:cNvPr>
          <xdr:cNvGraphicFramePr>
            <a:graphicFrameLocks/>
          </xdr:cNvGraphicFramePr>
        </xdr:nvGraphicFramePr>
        <xdr:xfrm>
          <a:off x="0" y="1698625"/>
          <a:ext cx="4876340" cy="301625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oneCellAnchor>
    <xdr:from>
      <xdr:col>1</xdr:col>
      <xdr:colOff>492125</xdr:colOff>
      <xdr:row>8</xdr:row>
      <xdr:rowOff>79375</xdr:rowOff>
    </xdr:from>
    <xdr:ext cx="2192075" cy="280205"/>
    <xdr:sp macro="" textlink="">
      <xdr:nvSpPr>
        <xdr:cNvPr id="54" name="TextBox 53">
          <a:extLst>
            <a:ext uri="{FF2B5EF4-FFF2-40B4-BE49-F238E27FC236}">
              <a16:creationId xmlns:a16="http://schemas.microsoft.com/office/drawing/2014/main" id="{85A66C50-D766-4FFB-9C77-6DD8E756BA21}"/>
            </a:ext>
          </a:extLst>
        </xdr:cNvPr>
        <xdr:cNvSpPr txBox="1"/>
      </xdr:nvSpPr>
      <xdr:spPr>
        <a:xfrm>
          <a:off x="1095375" y="1603375"/>
          <a:ext cx="219207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rgbClr val="002060"/>
              </a:solidFill>
            </a:rPr>
            <a:t>ENCOUNTERS BY DEPARTMENT</a:t>
          </a:r>
        </a:p>
      </xdr:txBody>
    </xdr:sp>
    <xdr:clientData/>
  </xdr:oneCellAnchor>
  <xdr:twoCellAnchor>
    <xdr:from>
      <xdr:col>7</xdr:col>
      <xdr:colOff>549275</xdr:colOff>
      <xdr:row>7</xdr:row>
      <xdr:rowOff>168275</xdr:rowOff>
    </xdr:from>
    <xdr:to>
      <xdr:col>15</xdr:col>
      <xdr:colOff>295275</xdr:colOff>
      <xdr:row>25</xdr:row>
      <xdr:rowOff>25400</xdr:rowOff>
    </xdr:to>
    <xdr:sp macro="" textlink="">
      <xdr:nvSpPr>
        <xdr:cNvPr id="61" name="Rectangle: Rounded Corners 60">
          <a:extLst>
            <a:ext uri="{FF2B5EF4-FFF2-40B4-BE49-F238E27FC236}">
              <a16:creationId xmlns:a16="http://schemas.microsoft.com/office/drawing/2014/main" id="{C328FA21-0ED2-4123-A58C-B469BBC36EC4}"/>
            </a:ext>
          </a:extLst>
        </xdr:cNvPr>
        <xdr:cNvSpPr/>
      </xdr:nvSpPr>
      <xdr:spPr>
        <a:xfrm>
          <a:off x="4772025" y="1501775"/>
          <a:ext cx="4572000" cy="3286125"/>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368300</xdr:colOff>
      <xdr:row>8</xdr:row>
      <xdr:rowOff>3175</xdr:rowOff>
    </xdr:from>
    <xdr:to>
      <xdr:col>23</xdr:col>
      <xdr:colOff>114300</xdr:colOff>
      <xdr:row>25</xdr:row>
      <xdr:rowOff>50800</xdr:rowOff>
    </xdr:to>
    <xdr:sp macro="" textlink="">
      <xdr:nvSpPr>
        <xdr:cNvPr id="63" name="Rectangle: Rounded Corners 62">
          <a:extLst>
            <a:ext uri="{FF2B5EF4-FFF2-40B4-BE49-F238E27FC236}">
              <a16:creationId xmlns:a16="http://schemas.microsoft.com/office/drawing/2014/main" id="{63DF74BA-931B-430F-87E5-579BA2E5BE07}"/>
            </a:ext>
          </a:extLst>
        </xdr:cNvPr>
        <xdr:cNvSpPr/>
      </xdr:nvSpPr>
      <xdr:spPr>
        <a:xfrm>
          <a:off x="9417050" y="1527175"/>
          <a:ext cx="4572000" cy="3286125"/>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76199</xdr:colOff>
      <xdr:row>25</xdr:row>
      <xdr:rowOff>107950</xdr:rowOff>
    </xdr:from>
    <xdr:to>
      <xdr:col>11</xdr:col>
      <xdr:colOff>301625</xdr:colOff>
      <xdr:row>40</xdr:row>
      <xdr:rowOff>174625</xdr:rowOff>
    </xdr:to>
    <xdr:sp macro="" textlink="">
      <xdr:nvSpPr>
        <xdr:cNvPr id="64" name="Rectangle: Rounded Corners 63">
          <a:extLst>
            <a:ext uri="{FF2B5EF4-FFF2-40B4-BE49-F238E27FC236}">
              <a16:creationId xmlns:a16="http://schemas.microsoft.com/office/drawing/2014/main" id="{571E1921-52BB-4D55-BE91-9FE32FC8259A}"/>
            </a:ext>
          </a:extLst>
        </xdr:cNvPr>
        <xdr:cNvSpPr/>
      </xdr:nvSpPr>
      <xdr:spPr>
        <a:xfrm>
          <a:off x="76199" y="4870450"/>
          <a:ext cx="6861176" cy="2924175"/>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444500</xdr:colOff>
      <xdr:row>25</xdr:row>
      <xdr:rowOff>117475</xdr:rowOff>
    </xdr:from>
    <xdr:to>
      <xdr:col>23</xdr:col>
      <xdr:colOff>111125</xdr:colOff>
      <xdr:row>40</xdr:row>
      <xdr:rowOff>184150</xdr:rowOff>
    </xdr:to>
    <xdr:sp macro="" textlink="">
      <xdr:nvSpPr>
        <xdr:cNvPr id="65" name="Rectangle: Rounded Corners 64">
          <a:extLst>
            <a:ext uri="{FF2B5EF4-FFF2-40B4-BE49-F238E27FC236}">
              <a16:creationId xmlns:a16="http://schemas.microsoft.com/office/drawing/2014/main" id="{1DBAC627-A5B6-419B-9F1F-7394D6B05175}"/>
            </a:ext>
          </a:extLst>
        </xdr:cNvPr>
        <xdr:cNvSpPr/>
      </xdr:nvSpPr>
      <xdr:spPr>
        <a:xfrm>
          <a:off x="7080250" y="4879975"/>
          <a:ext cx="6905625" cy="2924175"/>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266700</xdr:colOff>
      <xdr:row>0</xdr:row>
      <xdr:rowOff>52387</xdr:rowOff>
    </xdr:from>
    <xdr:to>
      <xdr:col>9</xdr:col>
      <xdr:colOff>571500</xdr:colOff>
      <xdr:row>14</xdr:row>
      <xdr:rowOff>128587</xdr:rowOff>
    </xdr:to>
    <xdr:graphicFrame macro="">
      <xdr:nvGraphicFramePr>
        <xdr:cNvPr id="2" name="Chart 1">
          <a:extLst>
            <a:ext uri="{FF2B5EF4-FFF2-40B4-BE49-F238E27FC236}">
              <a16:creationId xmlns:a16="http://schemas.microsoft.com/office/drawing/2014/main" id="{0D4339B4-75CA-43C4-916D-862045E03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285750</xdr:colOff>
      <xdr:row>15</xdr:row>
      <xdr:rowOff>4762</xdr:rowOff>
    </xdr:from>
    <xdr:to>
      <xdr:col>9</xdr:col>
      <xdr:colOff>590550</xdr:colOff>
      <xdr:row>29</xdr:row>
      <xdr:rowOff>80962</xdr:rowOff>
    </xdr:to>
    <xdr:graphicFrame macro="">
      <xdr:nvGraphicFramePr>
        <xdr:cNvPr id="3" name="Chart 2">
          <a:extLst>
            <a:ext uri="{FF2B5EF4-FFF2-40B4-BE49-F238E27FC236}">
              <a16:creationId xmlns:a16="http://schemas.microsoft.com/office/drawing/2014/main" id="{64DB8260-4F46-45D2-9871-3A02610F7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219075</xdr:colOff>
      <xdr:row>31</xdr:row>
      <xdr:rowOff>4762</xdr:rowOff>
    </xdr:from>
    <xdr:to>
      <xdr:col>9</xdr:col>
      <xdr:colOff>523875</xdr:colOff>
      <xdr:row>45</xdr:row>
      <xdr:rowOff>80962</xdr:rowOff>
    </xdr:to>
    <xdr:graphicFrame macro="">
      <xdr:nvGraphicFramePr>
        <xdr:cNvPr id="4" name="Chart 3">
          <a:extLst>
            <a:ext uri="{FF2B5EF4-FFF2-40B4-BE49-F238E27FC236}">
              <a16:creationId xmlns:a16="http://schemas.microsoft.com/office/drawing/2014/main" id="{A65E72A3-79FA-4640-AC2E-22B1C2FAA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180975</xdr:colOff>
      <xdr:row>46</xdr:row>
      <xdr:rowOff>80962</xdr:rowOff>
    </xdr:from>
    <xdr:to>
      <xdr:col>9</xdr:col>
      <xdr:colOff>485775</xdr:colOff>
      <xdr:row>60</xdr:row>
      <xdr:rowOff>157162</xdr:rowOff>
    </xdr:to>
    <xdr:graphicFrame macro="">
      <xdr:nvGraphicFramePr>
        <xdr:cNvPr id="5" name="Chart 4">
          <a:extLst>
            <a:ext uri="{FF2B5EF4-FFF2-40B4-BE49-F238E27FC236}">
              <a16:creationId xmlns:a16="http://schemas.microsoft.com/office/drawing/2014/main" id="{D0A92A25-E50B-4B62-8E1A-0800A83DD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142875</xdr:colOff>
      <xdr:row>63</xdr:row>
      <xdr:rowOff>138112</xdr:rowOff>
    </xdr:from>
    <xdr:to>
      <xdr:col>10</xdr:col>
      <xdr:colOff>447675</xdr:colOff>
      <xdr:row>78</xdr:row>
      <xdr:rowOff>23812</xdr:rowOff>
    </xdr:to>
    <xdr:graphicFrame macro="">
      <xdr:nvGraphicFramePr>
        <xdr:cNvPr id="6" name="Chart 5">
          <a:extLst>
            <a:ext uri="{FF2B5EF4-FFF2-40B4-BE49-F238E27FC236}">
              <a16:creationId xmlns:a16="http://schemas.microsoft.com/office/drawing/2014/main" id="{EC0B3447-71BE-49D0-B952-FA7C74E47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200025</xdr:colOff>
      <xdr:row>0</xdr:row>
      <xdr:rowOff>104776</xdr:rowOff>
    </xdr:from>
    <xdr:to>
      <xdr:col>13</xdr:col>
      <xdr:colOff>11251</xdr:colOff>
      <xdr:row>7</xdr:row>
      <xdr:rowOff>0</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D4D05FCE-5279-4495-AEDA-DD4FFD8FC55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601075" y="104776"/>
              <a:ext cx="1640026" cy="1228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342900</xdr:colOff>
      <xdr:row>0</xdr:row>
      <xdr:rowOff>114301</xdr:rowOff>
    </xdr:from>
    <xdr:to>
      <xdr:col>16</xdr:col>
      <xdr:colOff>154126</xdr:colOff>
      <xdr:row>7</xdr:row>
      <xdr:rowOff>9525</xdr:rowOff>
    </xdr:to>
    <mc:AlternateContent xmlns:mc="http://schemas.openxmlformats.org/markup-compatibility/2006" xmlns:a14="http://schemas.microsoft.com/office/drawing/2010/main">
      <mc:Choice Requires="a14">
        <xdr:graphicFrame macro="">
          <xdr:nvGraphicFramePr>
            <xdr:cNvPr id="9" name="Ward">
              <a:extLst>
                <a:ext uri="{FF2B5EF4-FFF2-40B4-BE49-F238E27FC236}">
                  <a16:creationId xmlns:a16="http://schemas.microsoft.com/office/drawing/2014/main" id="{BF3E6ECD-092C-46CA-9B31-13D0085DD0AA}"/>
                </a:ext>
              </a:extLst>
            </xdr:cNvPr>
            <xdr:cNvGraphicFramePr/>
          </xdr:nvGraphicFramePr>
          <xdr:xfrm>
            <a:off x="0" y="0"/>
            <a:ext cx="0" cy="0"/>
          </xdr:xfrm>
          <a:graphic>
            <a:graphicData uri="http://schemas.microsoft.com/office/drawing/2010/slicer">
              <sle:slicer xmlns:sle="http://schemas.microsoft.com/office/drawing/2010/slicer" name="Ward"/>
            </a:graphicData>
          </a:graphic>
        </xdr:graphicFrame>
      </mc:Choice>
      <mc:Fallback xmlns="">
        <xdr:sp macro="" textlink="">
          <xdr:nvSpPr>
            <xdr:cNvPr id="0" name=""/>
            <xdr:cNvSpPr>
              <a:spLocks noTextEdit="1"/>
            </xdr:cNvSpPr>
          </xdr:nvSpPr>
          <xdr:spPr>
            <a:xfrm>
              <a:off x="10572750" y="114301"/>
              <a:ext cx="1640026" cy="1228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485774</xdr:colOff>
      <xdr:row>10</xdr:row>
      <xdr:rowOff>152400</xdr:rowOff>
    </xdr:from>
    <xdr:to>
      <xdr:col>16</xdr:col>
      <xdr:colOff>590549</xdr:colOff>
      <xdr:row>14</xdr:row>
      <xdr:rowOff>190499</xdr:rowOff>
    </xdr:to>
    <mc:AlternateContent xmlns:mc="http://schemas.openxmlformats.org/markup-compatibility/2006">
      <mc:Choice xmlns:a14="http://schemas.microsoft.com/office/drawing/2010/main" Requires="a14">
        <xdr:graphicFrame macro="">
          <xdr:nvGraphicFramePr>
            <xdr:cNvPr id="10" name="Admission_Type">
              <a:extLst>
                <a:ext uri="{FF2B5EF4-FFF2-40B4-BE49-F238E27FC236}">
                  <a16:creationId xmlns:a16="http://schemas.microsoft.com/office/drawing/2014/main" id="{1D079910-5D10-484E-B78B-2CB9CE28AED7}"/>
                </a:ext>
              </a:extLst>
            </xdr:cNvPr>
            <xdr:cNvGraphicFramePr/>
          </xdr:nvGraphicFramePr>
          <xdr:xfrm>
            <a:off x="0" y="0"/>
            <a:ext cx="0" cy="0"/>
          </xdr:xfrm>
          <a:graphic>
            <a:graphicData uri="http://schemas.microsoft.com/office/drawing/2010/slicer">
              <sle:slicer xmlns:sle="http://schemas.microsoft.com/office/drawing/2010/slicer" name="Admission_Type"/>
            </a:graphicData>
          </a:graphic>
        </xdr:graphicFrame>
      </mc:Choice>
      <mc:Fallback>
        <xdr:sp macro="" textlink="">
          <xdr:nvSpPr>
            <xdr:cNvPr id="0" name=""/>
            <xdr:cNvSpPr>
              <a:spLocks noTextEdit="1"/>
            </xdr:cNvSpPr>
          </xdr:nvSpPr>
          <xdr:spPr>
            <a:xfrm>
              <a:off x="12411074" y="2057400"/>
              <a:ext cx="3152775" cy="800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95250</xdr:colOff>
      <xdr:row>7</xdr:row>
      <xdr:rowOff>66675</xdr:rowOff>
    </xdr:from>
    <xdr:to>
      <xdr:col>16</xdr:col>
      <xdr:colOff>95250</xdr:colOff>
      <xdr:row>10</xdr:row>
      <xdr:rowOff>133350</xdr:rowOff>
    </xdr:to>
    <mc:AlternateContent xmlns:mc="http://schemas.openxmlformats.org/markup-compatibility/2006">
      <mc:Choice xmlns:a14="http://schemas.microsoft.com/office/drawing/2010/main" Requires="a14">
        <xdr:graphicFrame macro="">
          <xdr:nvGraphicFramePr>
            <xdr:cNvPr id="11" name="Patient_Gender">
              <a:extLst>
                <a:ext uri="{FF2B5EF4-FFF2-40B4-BE49-F238E27FC236}">
                  <a16:creationId xmlns:a16="http://schemas.microsoft.com/office/drawing/2014/main" id="{713A9989-D376-4D66-BCCC-05526DF094F6}"/>
                </a:ext>
              </a:extLst>
            </xdr:cNvPr>
            <xdr:cNvGraphicFramePr/>
          </xdr:nvGraphicFramePr>
          <xdr:xfrm>
            <a:off x="0" y="0"/>
            <a:ext cx="0" cy="0"/>
          </xdr:xfrm>
          <a:graphic>
            <a:graphicData uri="http://schemas.microsoft.com/office/drawing/2010/slicer">
              <sle:slicer xmlns:sle="http://schemas.microsoft.com/office/drawing/2010/slicer" name="Patient_Gender"/>
            </a:graphicData>
          </a:graphic>
        </xdr:graphicFrame>
      </mc:Choice>
      <mc:Fallback>
        <xdr:sp macro="" textlink="">
          <xdr:nvSpPr>
            <xdr:cNvPr id="0" name=""/>
            <xdr:cNvSpPr>
              <a:spLocks noTextEdit="1"/>
            </xdr:cNvSpPr>
          </xdr:nvSpPr>
          <xdr:spPr>
            <a:xfrm>
              <a:off x="13239750" y="1400175"/>
              <a:ext cx="1828800"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238124</xdr:colOff>
      <xdr:row>13</xdr:row>
      <xdr:rowOff>190499</xdr:rowOff>
    </xdr:from>
    <xdr:to>
      <xdr:col>21</xdr:col>
      <xdr:colOff>228600</xdr:colOff>
      <xdr:row>21</xdr:row>
      <xdr:rowOff>38099</xdr:rowOff>
    </xdr:to>
    <mc:AlternateContent xmlns:mc="http://schemas.openxmlformats.org/markup-compatibility/2006">
      <mc:Choice xmlns:tsle="http://schemas.microsoft.com/office/drawing/2012/timeslicer" Requires="tsle">
        <xdr:graphicFrame macro="">
          <xdr:nvGraphicFramePr>
            <xdr:cNvPr id="12" name="Admission_Date">
              <a:extLst>
                <a:ext uri="{FF2B5EF4-FFF2-40B4-BE49-F238E27FC236}">
                  <a16:creationId xmlns:a16="http://schemas.microsoft.com/office/drawing/2014/main" id="{20D977A7-F589-4E57-A33D-1C0403E2A138}"/>
                </a:ext>
              </a:extLst>
            </xdr:cNvPr>
            <xdr:cNvGraphicFramePr/>
          </xdr:nvGraphicFramePr>
          <xdr:xfrm>
            <a:off x="0" y="0"/>
            <a:ext cx="0" cy="0"/>
          </xdr:xfrm>
          <a:graphic>
            <a:graphicData uri="http://schemas.microsoft.com/office/drawing/2012/timeslicer">
              <tsle:timeslicer xmlns:tsle="http://schemas.microsoft.com/office/drawing/2012/timeslicer" name="Admission_Date"/>
            </a:graphicData>
          </a:graphic>
        </xdr:graphicFrame>
      </mc:Choice>
      <mc:Fallback>
        <xdr:sp macro="" textlink="">
          <xdr:nvSpPr>
            <xdr:cNvPr id="0" name=""/>
            <xdr:cNvSpPr>
              <a:spLocks noTextEdit="1"/>
            </xdr:cNvSpPr>
          </xdr:nvSpPr>
          <xdr:spPr>
            <a:xfrm>
              <a:off x="12163424" y="2666999"/>
              <a:ext cx="608647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5</xdr:col>
      <xdr:colOff>904875</xdr:colOff>
      <xdr:row>79</xdr:row>
      <xdr:rowOff>114300</xdr:rowOff>
    </xdr:from>
    <xdr:to>
      <xdr:col>11</xdr:col>
      <xdr:colOff>428625</xdr:colOff>
      <xdr:row>94</xdr:row>
      <xdr:rowOff>0</xdr:rowOff>
    </xdr:to>
    <xdr:graphicFrame macro="">
      <xdr:nvGraphicFramePr>
        <xdr:cNvPr id="13" name="Chart 12">
          <a:extLst>
            <a:ext uri="{FF2B5EF4-FFF2-40B4-BE49-F238E27FC236}">
              <a16:creationId xmlns:a16="http://schemas.microsoft.com/office/drawing/2014/main" id="{5C31CA20-77C0-46BD-85BD-FB755E53B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457200</xdr:colOff>
      <xdr:row>7</xdr:row>
      <xdr:rowOff>0</xdr:rowOff>
    </xdr:from>
    <xdr:to>
      <xdr:col>10</xdr:col>
      <xdr:colOff>457200</xdr:colOff>
      <xdr:row>18</xdr:row>
      <xdr:rowOff>174625</xdr:rowOff>
    </xdr:to>
    <mc:AlternateContent xmlns:mc="http://schemas.openxmlformats.org/markup-compatibility/2006">
      <mc:Choice xmlns:a14="http://schemas.microsoft.com/office/drawing/2010/main" Requires="a14">
        <xdr:graphicFrame macro="">
          <xdr:nvGraphicFramePr>
            <xdr:cNvPr id="14" name="Consultant_Name">
              <a:extLst>
                <a:ext uri="{FF2B5EF4-FFF2-40B4-BE49-F238E27FC236}">
                  <a16:creationId xmlns:a16="http://schemas.microsoft.com/office/drawing/2014/main" id="{587A4B5B-4590-4CEC-BAC4-316421CB3DC2}"/>
                </a:ext>
              </a:extLst>
            </xdr:cNvPr>
            <xdr:cNvGraphicFramePr/>
          </xdr:nvGraphicFramePr>
          <xdr:xfrm>
            <a:off x="0" y="0"/>
            <a:ext cx="0" cy="0"/>
          </xdr:xfrm>
          <a:graphic>
            <a:graphicData uri="http://schemas.microsoft.com/office/drawing/2010/slicer">
              <sle:slicer xmlns:sle="http://schemas.microsoft.com/office/drawing/2010/slicer" name="Consultant_Name"/>
            </a:graphicData>
          </a:graphic>
        </xdr:graphicFrame>
      </mc:Choice>
      <mc:Fallback>
        <xdr:sp macro="" textlink="">
          <xdr:nvSpPr>
            <xdr:cNvPr id="0" name=""/>
            <xdr:cNvSpPr>
              <a:spLocks noTextEdit="1"/>
            </xdr:cNvSpPr>
          </xdr:nvSpPr>
          <xdr:spPr>
            <a:xfrm>
              <a:off x="9944100" y="1333500"/>
              <a:ext cx="1828800" cy="227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1.301706712962" createdVersion="7" refreshedVersion="7" minRefreshableVersion="3" recordCount="300" xr:uid="{C527EF51-F19E-42C9-B43C-E74B0DE1EA89}">
  <cacheSource type="worksheet">
    <worksheetSource name="Merged_Clinical_Finance_Data"/>
  </cacheSource>
  <cacheFields count="30">
    <cacheField name="Encounter_ID" numFmtId="0">
      <sharedItems/>
    </cacheField>
    <cacheField name="Department" numFmtId="0">
      <sharedItems count="8">
        <s v="Neurology"/>
        <s v="Orthopaedics"/>
        <s v="Respiratory"/>
        <s v="General Medicine"/>
        <s v="Paediatrics"/>
        <s v="Emergency Medicine"/>
        <s v="Cardiology"/>
        <s v="Oncology"/>
      </sharedItems>
    </cacheField>
    <cacheField name="Ward" numFmtId="0">
      <sharedItems count="8">
        <s v="Ward 3A"/>
        <s v="Ward 6B"/>
        <s v="Ward 5B"/>
        <s v="Ward 2C"/>
        <s v="Children's Ward"/>
        <s v="A&amp;E Bay"/>
        <s v="Ward 4A"/>
        <s v="Ward 8D"/>
      </sharedItems>
    </cacheField>
    <cacheField name="Admission_Type" numFmtId="0">
      <sharedItems count="3">
        <s v="Urgent"/>
        <s v="Emergency"/>
        <s v="Elective"/>
      </sharedItems>
    </cacheField>
    <cacheField name="Admission_Date" numFmtId="14">
      <sharedItems containsSemiMixedTypes="0" containsNonDate="0" containsDate="1" containsString="0" minDate="2025-01-02T00:00:00" maxDate="2026-01-01T00:00:00" count="201">
        <d v="2025-04-13T00:00:00"/>
        <d v="2025-07-11T00:00:00"/>
        <d v="2025-06-11T00:00:00"/>
        <d v="2025-07-03T00:00:00"/>
        <d v="2025-12-17T00:00:00"/>
        <d v="2025-01-29T00:00:00"/>
        <d v="2025-11-08T00:00:00"/>
        <d v="2025-04-30T00:00:00"/>
        <d v="2025-07-13T00:00:00"/>
        <d v="2025-04-28T00:00:00"/>
        <d v="2025-08-13T00:00:00"/>
        <d v="2025-05-12T00:00:00"/>
        <d v="2025-12-08T00:00:00"/>
        <d v="2025-12-03T00:00:00"/>
        <d v="2025-08-02T00:00:00"/>
        <d v="2025-06-18T00:00:00"/>
        <d v="2025-04-05T00:00:00"/>
        <d v="2025-07-23T00:00:00"/>
        <d v="2025-03-01T00:00:00"/>
        <d v="2025-03-06T00:00:00"/>
        <d v="2025-01-28T00:00:00"/>
        <d v="2025-07-12T00:00:00"/>
        <d v="2025-06-10T00:00:00"/>
        <d v="2025-03-05T00:00:00"/>
        <d v="2025-11-09T00:00:00"/>
        <d v="2025-05-11T00:00:00"/>
        <d v="2025-08-11T00:00:00"/>
        <d v="2025-08-12T00:00:00"/>
        <d v="2025-05-04T00:00:00"/>
        <d v="2025-04-07T00:00:00"/>
        <d v="2025-12-10T00:00:00"/>
        <d v="2025-09-29T00:00:00"/>
        <d v="2025-05-06T00:00:00"/>
        <d v="2025-12-07T00:00:00"/>
        <d v="2025-08-07T00:00:00"/>
        <d v="2025-08-21T00:00:00"/>
        <d v="2025-03-04T00:00:00"/>
        <d v="2025-02-23T00:00:00"/>
        <d v="2025-05-21T00:00:00"/>
        <d v="2025-08-18T00:00:00"/>
        <d v="2025-11-05T00:00:00"/>
        <d v="2025-08-05T00:00:00"/>
        <d v="2025-12-29T00:00:00"/>
        <d v="2025-06-21T00:00:00"/>
        <d v="2025-04-17T00:00:00"/>
        <d v="2025-01-09T00:00:00"/>
        <d v="2025-10-11T00:00:00"/>
        <d v="2025-11-18T00:00:00"/>
        <d v="2025-05-15T00:00:00"/>
        <d v="2025-03-08T00:00:00"/>
        <d v="2025-06-05T00:00:00"/>
        <d v="2025-09-17T00:00:00"/>
        <d v="2025-04-21T00:00:00"/>
        <d v="2025-11-07T00:00:00"/>
        <d v="2025-11-17T00:00:00"/>
        <d v="2025-03-23T00:00:00"/>
        <d v="2025-03-21T00:00:00"/>
        <d v="2025-08-28T00:00:00"/>
        <d v="2025-02-14T00:00:00"/>
        <d v="2025-05-22T00:00:00"/>
        <d v="2025-12-18T00:00:00"/>
        <d v="2025-06-26T00:00:00"/>
        <d v="2025-04-23T00:00:00"/>
        <d v="2025-05-05T00:00:00"/>
        <d v="2025-04-06T00:00:00"/>
        <d v="2025-02-25T00:00:00"/>
        <d v="2025-06-13T00:00:00"/>
        <d v="2025-02-11T00:00:00"/>
        <d v="2025-11-30T00:00:00"/>
        <d v="2025-09-08T00:00:00"/>
        <d v="2025-05-25T00:00:00"/>
        <d v="2025-04-12T00:00:00"/>
        <d v="2025-02-10T00:00:00"/>
        <d v="2025-08-29T00:00:00"/>
        <d v="2025-09-21T00:00:00"/>
        <d v="2025-09-04T00:00:00"/>
        <d v="2025-11-25T00:00:00"/>
        <d v="2025-11-03T00:00:00"/>
        <d v="2025-03-28T00:00:00"/>
        <d v="2025-05-23T00:00:00"/>
        <d v="2025-01-08T00:00:00"/>
        <d v="2025-04-10T00:00:00"/>
        <d v="2025-01-02T00:00:00"/>
        <d v="2025-01-30T00:00:00"/>
        <d v="2025-02-12T00:00:00"/>
        <d v="2025-08-26T00:00:00"/>
        <d v="2025-12-14T00:00:00"/>
        <d v="2025-09-30T00:00:00"/>
        <d v="2025-06-01T00:00:00"/>
        <d v="2025-01-19T00:00:00"/>
        <d v="2025-10-19T00:00:00"/>
        <d v="2025-06-19T00:00:00"/>
        <d v="2025-11-24T00:00:00"/>
        <d v="2025-11-23T00:00:00"/>
        <d v="2025-06-25T00:00:00"/>
        <d v="2025-01-20T00:00:00"/>
        <d v="2025-06-16T00:00:00"/>
        <d v="2025-11-19T00:00:00"/>
        <d v="2025-04-01T00:00:00"/>
        <d v="2025-05-03T00:00:00"/>
        <d v="2025-12-31T00:00:00"/>
        <d v="2025-04-09T00:00:00"/>
        <d v="2025-12-24T00:00:00"/>
        <d v="2025-04-14T00:00:00"/>
        <d v="2025-07-20T00:00:00"/>
        <d v="2025-03-03T00:00:00"/>
        <d v="2025-03-18T00:00:00"/>
        <d v="2025-07-27T00:00:00"/>
        <d v="2025-05-31T00:00:00"/>
        <d v="2025-08-06T00:00:00"/>
        <d v="2025-04-22T00:00:00"/>
        <d v="2025-10-14T00:00:00"/>
        <d v="2025-11-06T00:00:00"/>
        <d v="2025-01-18T00:00:00"/>
        <d v="2025-12-30T00:00:00"/>
        <d v="2025-05-07T00:00:00"/>
        <d v="2025-04-29T00:00:00"/>
        <d v="2025-02-07T00:00:00"/>
        <d v="2025-02-20T00:00:00"/>
        <d v="2025-08-24T00:00:00"/>
        <d v="2025-07-31T00:00:00"/>
        <d v="2025-10-05T00:00:00"/>
        <d v="2025-10-29T00:00:00"/>
        <d v="2025-10-30T00:00:00"/>
        <d v="2025-08-04T00:00:00"/>
        <d v="2025-09-06T00:00:00"/>
        <d v="2025-11-14T00:00:00"/>
        <d v="2025-02-27T00:00:00"/>
        <d v="2025-03-22T00:00:00"/>
        <d v="2025-05-27T00:00:00"/>
        <d v="2025-05-20T00:00:00"/>
        <d v="2025-08-19T00:00:00"/>
        <d v="2025-03-02T00:00:00"/>
        <d v="2025-03-10T00:00:00"/>
        <d v="2025-03-17T00:00:00"/>
        <d v="2025-08-25T00:00:00"/>
        <d v="2025-07-18T00:00:00"/>
        <d v="2025-05-02T00:00:00"/>
        <d v="2025-01-25T00:00:00"/>
        <d v="2025-08-15T00:00:00"/>
        <d v="2025-01-05T00:00:00"/>
        <d v="2025-09-01T00:00:00"/>
        <d v="2025-12-26T00:00:00"/>
        <d v="2025-11-26T00:00:00"/>
        <d v="2025-02-28T00:00:00"/>
        <d v="2025-01-03T00:00:00"/>
        <d v="2025-01-04T00:00:00"/>
        <d v="2025-02-02T00:00:00"/>
        <d v="2025-05-13T00:00:00"/>
        <d v="2025-12-22T00:00:00"/>
        <d v="2025-11-16T00:00:00"/>
        <d v="2025-10-26T00:00:00"/>
        <d v="2025-03-09T00:00:00"/>
        <d v="2025-11-22T00:00:00"/>
        <d v="2025-02-17T00:00:00"/>
        <d v="2025-07-25T00:00:00"/>
        <d v="2025-02-01T00:00:00"/>
        <d v="2025-01-10T00:00:00"/>
        <d v="2025-09-03T00:00:00"/>
        <d v="2025-01-23T00:00:00"/>
        <d v="2025-01-11T00:00:00"/>
        <d v="2025-01-22T00:00:00"/>
        <d v="2025-05-18T00:00:00"/>
        <d v="2025-11-13T00:00:00"/>
        <d v="2025-05-29T00:00:00"/>
        <d v="2025-05-01T00:00:00"/>
        <d v="2025-03-29T00:00:00"/>
        <d v="2025-05-14T00:00:00"/>
        <d v="2025-12-13T00:00:00"/>
        <d v="2025-04-20T00:00:00"/>
        <d v="2025-06-27T00:00:00"/>
        <d v="2025-08-16T00:00:00"/>
        <d v="2025-05-16T00:00:00"/>
        <d v="2025-03-11T00:00:00"/>
        <d v="2025-07-24T00:00:00"/>
        <d v="2025-05-10T00:00:00"/>
        <d v="2025-12-02T00:00:00"/>
        <d v="2025-07-14T00:00:00"/>
        <d v="2025-06-04T00:00:00"/>
        <d v="2025-07-06T00:00:00"/>
        <d v="2025-02-21T00:00:00"/>
        <d v="2025-06-20T00:00:00"/>
        <d v="2025-07-05T00:00:00"/>
        <d v="2025-10-04T00:00:00"/>
        <d v="2025-09-02T00:00:00"/>
        <d v="2025-11-21T00:00:00"/>
        <d v="2025-11-29T00:00:00"/>
        <d v="2025-10-01T00:00:00"/>
        <d v="2025-07-22T00:00:00"/>
        <d v="2025-03-26T00:00:00"/>
        <d v="2025-08-01T00:00:00"/>
        <d v="2025-11-20T00:00:00"/>
        <d v="2025-09-05T00:00:00"/>
        <d v="2025-04-15T00:00:00"/>
        <d v="2025-01-24T00:00:00"/>
        <d v="2025-10-07T00:00:00"/>
        <d v="2025-10-06T00:00:00"/>
        <d v="2025-02-15T00:00:00"/>
        <d v="2025-03-15T00:00:00"/>
        <d v="2025-12-23T00:00:00"/>
        <d v="2025-06-09T00:00:00"/>
      </sharedItems>
      <fieldGroup par="29" base="4">
        <rangePr groupBy="days" startDate="2025-01-02T00:00:00" endDate="2026-01-01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Discharge_Date" numFmtId="14">
      <sharedItems containsSemiMixedTypes="0" containsNonDate="0" containsDate="1" containsString="0" minDate="2025-01-05T00:00:00" maxDate="2026-01-08T00:00:00"/>
    </cacheField>
    <cacheField name="Length_of_Stay_Days" numFmtId="0">
      <sharedItems containsSemiMixedTypes="0" containsString="0" containsNumber="1" minValue="0.5" maxValue="12.9"/>
    </cacheField>
    <cacheField name="Patient_Age" numFmtId="0">
      <sharedItems containsSemiMixedTypes="0" containsString="0" containsNumber="1" containsInteger="1" minValue="18" maxValue="87"/>
    </cacheField>
    <cacheField name="Patient_Gender" numFmtId="0">
      <sharedItems count="2">
        <s v="Male"/>
        <s v="Female"/>
      </sharedItems>
    </cacheField>
    <cacheField name="Ethnicity" numFmtId="0">
      <sharedItems/>
    </cacheField>
    <cacheField name="Consultant_Name" numFmtId="0">
      <sharedItems count="16">
        <s v="Dr. M. Sharma"/>
        <s v="Dr. H. Adeyemi"/>
        <s v="Mr. S. Obi"/>
        <s v="Dr. L. Thompson"/>
        <s v="Dr. A. Patel"/>
        <s v="Dr. P. Clarke"/>
        <s v="Dr. F. Garcia"/>
        <s v="Dr. C. Walsh"/>
        <s v="Dr. E. Baxter"/>
        <s v="Dr. K. Lee"/>
        <s v="Dr. T. Ibrahim"/>
        <s v="Dr. J. Kowalski"/>
        <s v="Dr. N. Osei"/>
        <s v="Mr. D. Murray"/>
        <s v="Dr. B. Mensah"/>
        <s v="Dr. R. Vasquez"/>
      </sharedItems>
    </cacheField>
    <cacheField name="Primary_Diagnosis" numFmtId="0">
      <sharedItems count="32">
        <s v="Stroke"/>
        <s v="Epilepsy"/>
        <s v="Hip Fracture"/>
        <s v="Pneumonia"/>
        <s v="Sepsis"/>
        <s v="DVT"/>
        <s v="Asthma"/>
        <s v="Bronchiolitis"/>
        <s v="TIA"/>
        <s v="Viral Infection"/>
        <s v="Chest Pain"/>
        <s v="Atrial Fibrillation"/>
        <s v="Colorectal Cancer"/>
        <s v="COPD Exacerbation"/>
        <s v="Arrhythmia"/>
        <s v="Abdominal Pain"/>
        <s v="Knee Replacement"/>
        <s v="Heart Failure"/>
        <s v="Headache/Migraine"/>
        <s v="Lymphoma"/>
        <s v="Appendicitis"/>
        <s v="Fracture NOF"/>
        <s v="PE"/>
        <s v="Breast Cancer"/>
        <s v="Head Injury"/>
        <s v="Cellulitis"/>
        <s v="UTI"/>
        <s v="Disc Prolapse"/>
        <s v="Acute MI"/>
        <s v="Overdose"/>
        <s v="Lung Cancer"/>
        <s v="Asthma Attack"/>
      </sharedItems>
    </cacheField>
    <cacheField name="Discharge_Method" numFmtId="0">
      <sharedItems/>
    </cacheField>
    <cacheField name="30Day_Readmission" numFmtId="0">
      <sharedItems/>
    </cacheField>
    <cacheField name="Occupied_Beds" numFmtId="0">
      <sharedItems containsSemiMixedTypes="0" containsString="0" containsNumber="1" containsInteger="1" minValue="12" maxValue="30"/>
    </cacheField>
    <cacheField name="Total_Beds" numFmtId="0">
      <sharedItems containsSemiMixedTypes="0" containsString="0" containsNumber="1" containsInteger="1" minValue="30" maxValue="30"/>
    </cacheField>
    <cacheField name="Bed_Occupancy_Rate" numFmtId="0">
      <sharedItems containsSemiMixedTypes="0" containsString="0" containsNumber="1" minValue="0.4" maxValue="1"/>
    </cacheField>
    <cacheField name="Daily_Bed_Cost_GBP" numFmtId="0">
      <sharedItems containsSemiMixedTypes="0" containsString="0" containsNumber="1" containsInteger="1" minValue="350" maxValue="510"/>
    </cacheField>
    <cacheField name="Total_Encounter_Cost_Naira" numFmtId="164">
      <sharedItems containsSemiMixedTypes="0" containsString="0" containsNumber="1" minValue="175" maxValue="6048"/>
    </cacheField>
    <cacheField name="Tariff_Code" numFmtId="0">
      <sharedItems/>
    </cacheField>
    <cacheField name="Specialty_Cost_Centre" numFmtId="0">
      <sharedItems/>
    </cacheField>
    <cacheField name="Treatment_Cost_Naira" numFmtId="164">
      <sharedItems containsSemiMixedTypes="0" containsString="0" containsNumber="1" minValue="300.91000000000003" maxValue="8915.92"/>
    </cacheField>
    <cacheField name="Occupancy_Rate_Fixed" numFmtId="9">
      <sharedItems containsSemiMixedTypes="0" containsString="0" containsNumber="1" minValue="0.4" maxValue="1"/>
    </cacheField>
    <cacheField name="Readmit_Flag" numFmtId="0">
      <sharedItems containsSemiMixedTypes="0" containsString="0" containsNumber="1" containsInteger="1" minValue="0" maxValue="1"/>
    </cacheField>
    <cacheField name="Age_Band" numFmtId="0">
      <sharedItems/>
    </cacheField>
    <cacheField name="LOS_Band" numFmtId="0">
      <sharedItems/>
    </cacheField>
    <cacheField name="Admission_Month" numFmtId="14">
      <sharedItems containsSemiMixedTypes="0" containsNonDate="0" containsDate="1" containsString="0" minDate="2025-01-01T00:00:00" maxDate="2025-12-02T00:00:00"/>
    </cacheField>
    <cacheField name="Cost_Check" numFmtId="164">
      <sharedItems containsSemiMixedTypes="0" containsString="0" containsNumber="1" minValue="175" maxValue="6048"/>
    </cacheField>
    <cacheField name="High_Cost_Flag" numFmtId="0">
      <sharedItems/>
    </cacheField>
    <cacheField name="Months" numFmtId="0" databaseField="0">
      <fieldGroup base="4">
        <rangePr groupBy="months" startDate="2025-01-02T00:00:00" endDate="2026-01-01T00:00:00"/>
        <groupItems count="14">
          <s v="&lt;02/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932684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EX20001"/>
    <x v="0"/>
    <x v="0"/>
    <x v="0"/>
    <x v="0"/>
    <d v="2025-04-19T00:00:00"/>
    <n v="6.2"/>
    <n v="35"/>
    <x v="0"/>
    <s v="Asian/Asian British"/>
    <x v="0"/>
    <x v="0"/>
    <s v="Discharged to Community Care"/>
    <s v="No"/>
    <n v="18"/>
    <n v="30"/>
    <n v="0.6"/>
    <n v="425"/>
    <n v="2635"/>
    <s v="NEUR-GEN"/>
    <s v="CC-NEURO-07"/>
    <n v="2643.93"/>
    <n v="0.6"/>
    <n v="0"/>
    <s v="35-49"/>
    <s v="Medium (3-7)"/>
    <d v="2025-04-01T00:00:00"/>
    <n v="2635"/>
    <s v="Normal"/>
  </r>
  <r>
    <s v="EX20002"/>
    <x v="0"/>
    <x v="0"/>
    <x v="1"/>
    <x v="1"/>
    <d v="2025-07-18T00:00:00"/>
    <n v="7.8"/>
    <n v="45"/>
    <x v="1"/>
    <s v="Black/African/Caribbean"/>
    <x v="1"/>
    <x v="1"/>
    <s v="Discharged Home"/>
    <s v="No"/>
    <n v="28"/>
    <n v="30"/>
    <n v="0.93330000000000002"/>
    <n v="480"/>
    <n v="3744"/>
    <s v="NEUR-GEN"/>
    <s v="CC-NEURO-07"/>
    <n v="3216.85"/>
    <n v="0.93333333333333335"/>
    <n v="0"/>
    <s v="35-49"/>
    <s v="Long (&gt;7)"/>
    <d v="2025-07-01T00:00:00"/>
    <n v="3744"/>
    <s v="Normal"/>
  </r>
  <r>
    <s v="EX20003"/>
    <x v="1"/>
    <x v="1"/>
    <x v="0"/>
    <x v="2"/>
    <d v="2025-06-17T00:00:00"/>
    <n v="6.2"/>
    <n v="18"/>
    <x v="0"/>
    <s v="White British"/>
    <x v="2"/>
    <x v="2"/>
    <s v="Transfer to Other Trust"/>
    <s v="No"/>
    <n v="18"/>
    <n v="30"/>
    <n v="0.6"/>
    <n v="450"/>
    <n v="2790"/>
    <s v="EMRG-GEN"/>
    <s v="CC-EMERG-04"/>
    <n v="771.71"/>
    <n v="0.6"/>
    <n v="0"/>
    <s v="18-34"/>
    <s v="Medium (3-7)"/>
    <d v="2025-06-01T00:00:00"/>
    <n v="2790"/>
    <s v="Normal"/>
  </r>
  <r>
    <s v="EX20004"/>
    <x v="2"/>
    <x v="2"/>
    <x v="2"/>
    <x v="3"/>
    <d v="2025-07-05T00:00:00"/>
    <n v="2.8"/>
    <n v="38"/>
    <x v="0"/>
    <s v="Mixed/Multiple"/>
    <x v="3"/>
    <x v="3"/>
    <s v="Discharged Home"/>
    <s v="No"/>
    <n v="12"/>
    <n v="30"/>
    <n v="0.4"/>
    <n v="350"/>
    <n v="980"/>
    <s v="GENM-GEN"/>
    <s v="CC-GENMED-03"/>
    <n v="2354.73"/>
    <n v="0.4"/>
    <n v="0"/>
    <s v="35-49"/>
    <s v="Short (&lt;3)"/>
    <d v="2025-07-01T00:00:00"/>
    <n v="979.99999999999989"/>
    <s v="Normal"/>
  </r>
  <r>
    <s v="EX20005"/>
    <x v="3"/>
    <x v="3"/>
    <x v="0"/>
    <x v="4"/>
    <d v="2025-12-22T00:00:00"/>
    <n v="5.9"/>
    <n v="72"/>
    <x v="0"/>
    <s v="White British"/>
    <x v="4"/>
    <x v="4"/>
    <s v="Transfer to Other Trust"/>
    <s v="Yes"/>
    <n v="16"/>
    <n v="30"/>
    <n v="0.5333"/>
    <n v="400"/>
    <n v="2360"/>
    <s v="EMRG-GEN"/>
    <s v="CC-EMERG-04"/>
    <n v="303.89"/>
    <n v="0.53333333333333333"/>
    <n v="1"/>
    <s v="65-79"/>
    <s v="Medium (3-7)"/>
    <d v="2025-12-01T00:00:00"/>
    <n v="2360"/>
    <s v="Normal"/>
  </r>
  <r>
    <s v="EX20006"/>
    <x v="0"/>
    <x v="0"/>
    <x v="1"/>
    <x v="5"/>
    <d v="2025-02-04T00:00:00"/>
    <n v="6.5"/>
    <n v="87"/>
    <x v="0"/>
    <s v="Not Stated"/>
    <x v="1"/>
    <x v="1"/>
    <s v="Self-Discharge"/>
    <s v="No"/>
    <n v="13"/>
    <n v="30"/>
    <n v="0.43330000000000002"/>
    <n v="425"/>
    <n v="2762.5"/>
    <s v="EMRG-GEN"/>
    <s v="CC-EMERG-04"/>
    <n v="1110.51"/>
    <n v="0.43333333333333335"/>
    <n v="0"/>
    <s v="80+"/>
    <s v="Medium (3-7)"/>
    <d v="2025-01-01T00:00:00"/>
    <n v="2762.5"/>
    <s v="Normal"/>
  </r>
  <r>
    <s v="EX20007"/>
    <x v="3"/>
    <x v="3"/>
    <x v="1"/>
    <x v="6"/>
    <d v="2025-11-14T00:00:00"/>
    <n v="6.6"/>
    <n v="33"/>
    <x v="1"/>
    <s v="Asian/Asian British"/>
    <x v="5"/>
    <x v="5"/>
    <s v="Transfer to Other Trust"/>
    <s v="No"/>
    <n v="18"/>
    <n v="30"/>
    <n v="0.6"/>
    <n v="375"/>
    <n v="2475"/>
    <s v="GENM-GEN"/>
    <s v="CC-GENMED-03"/>
    <n v="3174.08"/>
    <n v="0.6"/>
    <n v="0"/>
    <s v="18-34"/>
    <s v="Medium (3-7)"/>
    <d v="2025-11-01T00:00:00"/>
    <n v="2475"/>
    <s v="Normal"/>
  </r>
  <r>
    <s v="EX20008"/>
    <x v="4"/>
    <x v="4"/>
    <x v="0"/>
    <x v="7"/>
    <d v="2025-05-04T00:00:00"/>
    <n v="4.4000000000000004"/>
    <n v="64"/>
    <x v="1"/>
    <s v="Other Ethnic Group"/>
    <x v="6"/>
    <x v="6"/>
    <s v="Discharged Home"/>
    <s v="Yes"/>
    <n v="13"/>
    <n v="30"/>
    <n v="0.43330000000000002"/>
    <n v="450"/>
    <n v="1980"/>
    <s v="ORTH-GEN"/>
    <s v="CC-ORTHO-02"/>
    <n v="2967.5"/>
    <n v="0.43333333333333335"/>
    <n v="1"/>
    <s v="50-64"/>
    <s v="Medium (3-7)"/>
    <d v="2025-04-01T00:00:00"/>
    <n v="1980.0000000000002"/>
    <s v="Normal"/>
  </r>
  <r>
    <s v="EX20009"/>
    <x v="4"/>
    <x v="4"/>
    <x v="1"/>
    <x v="8"/>
    <d v="2025-07-15T00:00:00"/>
    <n v="2.6"/>
    <n v="69"/>
    <x v="0"/>
    <s v="Black/African/Caribbean"/>
    <x v="7"/>
    <x v="7"/>
    <s v="Discharged Home"/>
    <s v="No"/>
    <n v="23"/>
    <n v="30"/>
    <n v="0.76670000000000005"/>
    <n v="350"/>
    <n v="910"/>
    <s v="ONCO-GEN"/>
    <s v="CC-ONCOL-05"/>
    <n v="8590.14"/>
    <n v="0.76666666666666672"/>
    <n v="0"/>
    <s v="65-79"/>
    <s v="Short (&lt;3)"/>
    <d v="2025-07-01T00:00:00"/>
    <n v="910"/>
    <s v="Normal"/>
  </r>
  <r>
    <s v="EX20010"/>
    <x v="0"/>
    <x v="0"/>
    <x v="0"/>
    <x v="9"/>
    <d v="2025-05-02T00:00:00"/>
    <n v="4.2"/>
    <n v="57"/>
    <x v="0"/>
    <s v="Not Stated"/>
    <x v="0"/>
    <x v="8"/>
    <s v="Self-Discharge"/>
    <s v="No"/>
    <n v="19"/>
    <n v="30"/>
    <n v="0.63329999999999997"/>
    <n v="480"/>
    <n v="2016"/>
    <s v="NEUR-GEN"/>
    <s v="CC-NEURO-07"/>
    <n v="2764.68"/>
    <n v="0.6333333333333333"/>
    <n v="0"/>
    <s v="50-64"/>
    <s v="Medium (3-7)"/>
    <d v="2025-04-01T00:00:00"/>
    <n v="2016"/>
    <s v="Normal"/>
  </r>
  <r>
    <s v="EX20011"/>
    <x v="0"/>
    <x v="0"/>
    <x v="1"/>
    <x v="10"/>
    <d v="2025-08-20T00:00:00"/>
    <n v="7.3"/>
    <n v="74"/>
    <x v="0"/>
    <s v="Asian/Asian British"/>
    <x v="1"/>
    <x v="1"/>
    <s v="Self-Discharge"/>
    <s v="Yes"/>
    <n v="22"/>
    <n v="30"/>
    <n v="0.73329999999999995"/>
    <n v="510"/>
    <n v="3723"/>
    <s v="ORTH-GEN"/>
    <s v="CC-ORTHO-02"/>
    <n v="5108.12"/>
    <n v="0.73333333333333328"/>
    <n v="1"/>
    <s v="65-79"/>
    <s v="Long (&gt;7)"/>
    <d v="2025-08-01T00:00:00"/>
    <n v="3723"/>
    <s v="Normal"/>
  </r>
  <r>
    <s v="EX20012"/>
    <x v="2"/>
    <x v="2"/>
    <x v="1"/>
    <x v="11"/>
    <d v="2025-05-16T00:00:00"/>
    <n v="4.5999999999999996"/>
    <n v="38"/>
    <x v="1"/>
    <s v="Black/African/Caribbean"/>
    <x v="8"/>
    <x v="3"/>
    <s v="Transfer to Other Trust"/>
    <s v="No"/>
    <n v="18"/>
    <n v="30"/>
    <n v="0.6"/>
    <n v="400"/>
    <n v="1840"/>
    <s v="RESP-GEN"/>
    <s v="CC-RESPI-08"/>
    <n v="2205.1"/>
    <n v="0.6"/>
    <n v="0"/>
    <s v="35-49"/>
    <s v="Medium (3-7)"/>
    <d v="2025-05-01T00:00:00"/>
    <n v="1839.9999999999998"/>
    <s v="Normal"/>
  </r>
  <r>
    <s v="EX20013"/>
    <x v="4"/>
    <x v="4"/>
    <x v="2"/>
    <x v="12"/>
    <d v="2025-12-10T00:00:00"/>
    <n v="2.4"/>
    <n v="42"/>
    <x v="1"/>
    <s v="Not Stated"/>
    <x v="7"/>
    <x v="9"/>
    <s v="Self-Discharge"/>
    <s v="No"/>
    <n v="19"/>
    <n v="30"/>
    <n v="0.63329999999999997"/>
    <n v="510"/>
    <n v="1224"/>
    <s v="EMRG-GEN"/>
    <s v="CC-EMERG-04"/>
    <n v="943.92"/>
    <n v="0.6333333333333333"/>
    <n v="0"/>
    <s v="35-49"/>
    <s v="Short (&lt;3)"/>
    <d v="2025-12-01T00:00:00"/>
    <n v="1224"/>
    <s v="Normal"/>
  </r>
  <r>
    <s v="EX20014"/>
    <x v="0"/>
    <x v="0"/>
    <x v="1"/>
    <x v="13"/>
    <d v="2025-12-07T00:00:00"/>
    <n v="4.8"/>
    <n v="86"/>
    <x v="1"/>
    <s v="White British"/>
    <x v="0"/>
    <x v="8"/>
    <s v="Discharged to Community Care"/>
    <s v="Yes"/>
    <n v="26"/>
    <n v="30"/>
    <n v="0.86670000000000003"/>
    <n v="510"/>
    <n v="2448"/>
    <s v="NEUR-GEN"/>
    <s v="CC-NEURO-07"/>
    <n v="3718.69"/>
    <n v="0.8666666666666667"/>
    <n v="1"/>
    <s v="80+"/>
    <s v="Medium (3-7)"/>
    <d v="2025-12-01T00:00:00"/>
    <n v="2448"/>
    <s v="Normal"/>
  </r>
  <r>
    <s v="EX20015"/>
    <x v="5"/>
    <x v="5"/>
    <x v="1"/>
    <x v="14"/>
    <d v="2025-08-03T00:00:00"/>
    <n v="1.4"/>
    <n v="54"/>
    <x v="1"/>
    <s v="Other Ethnic Group"/>
    <x v="9"/>
    <x v="10"/>
    <s v="Discharged Home"/>
    <s v="No"/>
    <n v="30"/>
    <n v="30"/>
    <n v="1"/>
    <n v="350"/>
    <n v="490"/>
    <s v="EMRG-GEN"/>
    <s v="CC-EMERG-04"/>
    <n v="964.34"/>
    <n v="1"/>
    <n v="0"/>
    <s v="50-64"/>
    <s v="Short (&lt;3)"/>
    <d v="2025-08-01T00:00:00"/>
    <n v="489.99999999999994"/>
    <s v="Normal"/>
  </r>
  <r>
    <s v="EX20016"/>
    <x v="6"/>
    <x v="6"/>
    <x v="2"/>
    <x v="14"/>
    <d v="2025-08-05T00:00:00"/>
    <n v="3.8"/>
    <n v="55"/>
    <x v="1"/>
    <s v="Not Stated"/>
    <x v="10"/>
    <x v="11"/>
    <s v="Transfer to Other Trust"/>
    <s v="No"/>
    <n v="17"/>
    <n v="30"/>
    <n v="0.56669999999999998"/>
    <n v="510"/>
    <n v="1938"/>
    <s v="PEDS-GEN"/>
    <s v="CC-PAEDS-06"/>
    <n v="969.25"/>
    <n v="0.56666666666666665"/>
    <n v="0"/>
    <s v="50-64"/>
    <s v="Medium (3-7)"/>
    <d v="2025-08-01T00:00:00"/>
    <n v="1938"/>
    <s v="Normal"/>
  </r>
  <r>
    <s v="EX20017"/>
    <x v="7"/>
    <x v="7"/>
    <x v="0"/>
    <x v="15"/>
    <d v="2025-06-21T00:00:00"/>
    <n v="3.4"/>
    <n v="75"/>
    <x v="0"/>
    <s v="Black/African/Caribbean"/>
    <x v="11"/>
    <x v="12"/>
    <s v="Discharged Home"/>
    <s v="No"/>
    <n v="20"/>
    <n v="30"/>
    <n v="0.66669999999999996"/>
    <n v="375"/>
    <n v="1275"/>
    <s v="NEUR-GEN"/>
    <s v="CC-NEURO-07"/>
    <n v="1721.51"/>
    <n v="0.66666666666666663"/>
    <n v="0"/>
    <s v="65-79"/>
    <s v="Medium (3-7)"/>
    <d v="2025-06-01T00:00:00"/>
    <n v="1275"/>
    <s v="Normal"/>
  </r>
  <r>
    <s v="EX20018"/>
    <x v="2"/>
    <x v="2"/>
    <x v="0"/>
    <x v="16"/>
    <d v="2025-04-12T00:00:00"/>
    <n v="7"/>
    <n v="79"/>
    <x v="0"/>
    <s v="Other Ethnic Group"/>
    <x v="3"/>
    <x v="13"/>
    <s v="Discharged to Community Care"/>
    <s v="No"/>
    <n v="26"/>
    <n v="30"/>
    <n v="0.86670000000000003"/>
    <n v="375"/>
    <n v="2625"/>
    <s v="EMRG-GEN"/>
    <s v="CC-EMERG-04"/>
    <n v="771.94"/>
    <n v="0.8666666666666667"/>
    <n v="0"/>
    <s v="65-79"/>
    <s v="Medium (3-7)"/>
    <d v="2025-04-01T00:00:00"/>
    <n v="2625"/>
    <s v="Normal"/>
  </r>
  <r>
    <s v="EX20019"/>
    <x v="6"/>
    <x v="6"/>
    <x v="2"/>
    <x v="15"/>
    <d v="2025-06-24T00:00:00"/>
    <n v="6.8"/>
    <n v="18"/>
    <x v="1"/>
    <s v="Other Ethnic Group"/>
    <x v="10"/>
    <x v="14"/>
    <s v="Transfer to Other Trust"/>
    <s v="Yes"/>
    <n v="17"/>
    <n v="30"/>
    <n v="0.56669999999999998"/>
    <n v="400"/>
    <n v="2720"/>
    <s v="GENM-GEN"/>
    <s v="CC-GENMED-03"/>
    <n v="1577.69"/>
    <n v="0.56666666666666665"/>
    <n v="1"/>
    <s v="18-34"/>
    <s v="Medium (3-7)"/>
    <d v="2025-06-01T00:00:00"/>
    <n v="2720"/>
    <s v="Normal"/>
  </r>
  <r>
    <s v="EX20020"/>
    <x v="3"/>
    <x v="3"/>
    <x v="2"/>
    <x v="17"/>
    <d v="2025-07-24T00:00:00"/>
    <n v="1.2"/>
    <n v="47"/>
    <x v="1"/>
    <s v="White British"/>
    <x v="4"/>
    <x v="4"/>
    <s v="Self-Discharge"/>
    <s v="No"/>
    <n v="25"/>
    <n v="30"/>
    <n v="0.83330000000000004"/>
    <n v="510"/>
    <n v="612"/>
    <s v="RESP-GEN"/>
    <s v="CC-RESPI-08"/>
    <n v="1391.63"/>
    <n v="0.83333333333333337"/>
    <n v="0"/>
    <s v="35-49"/>
    <s v="Short (&lt;3)"/>
    <d v="2025-07-01T00:00:00"/>
    <n v="612"/>
    <s v="Normal"/>
  </r>
  <r>
    <s v="EX20021"/>
    <x v="5"/>
    <x v="5"/>
    <x v="1"/>
    <x v="18"/>
    <d v="2025-03-02T00:00:00"/>
    <n v="1.5"/>
    <n v="64"/>
    <x v="0"/>
    <s v="Mixed/Multiple"/>
    <x v="9"/>
    <x v="15"/>
    <s v="Self-Discharge"/>
    <s v="No"/>
    <n v="29"/>
    <n v="30"/>
    <n v="0.9667"/>
    <n v="400"/>
    <n v="600"/>
    <s v="GENM-GEN"/>
    <s v="CC-GENMED-03"/>
    <n v="1848.22"/>
    <n v="0.96666666666666667"/>
    <n v="0"/>
    <s v="50-64"/>
    <s v="Short (&lt;3)"/>
    <d v="2025-03-01T00:00:00"/>
    <n v="600"/>
    <s v="Normal"/>
  </r>
  <r>
    <s v="EX20022"/>
    <x v="1"/>
    <x v="1"/>
    <x v="2"/>
    <x v="19"/>
    <d v="2025-03-15T00:00:00"/>
    <n v="9.6"/>
    <n v="29"/>
    <x v="0"/>
    <s v="Not Stated"/>
    <x v="2"/>
    <x v="16"/>
    <s v="Discharged Home"/>
    <s v="No"/>
    <n v="19"/>
    <n v="30"/>
    <n v="0.63329999999999997"/>
    <n v="510"/>
    <n v="4896"/>
    <s v="PEDS-GEN"/>
    <s v="CC-PAEDS-06"/>
    <n v="2058.69"/>
    <n v="0.6333333333333333"/>
    <n v="0"/>
    <s v="18-34"/>
    <s v="Long (&gt;7)"/>
    <d v="2025-03-01T00:00:00"/>
    <n v="4896"/>
    <s v="Normal"/>
  </r>
  <r>
    <s v="EX20023"/>
    <x v="3"/>
    <x v="3"/>
    <x v="1"/>
    <x v="20"/>
    <d v="2025-02-03T00:00:00"/>
    <n v="6.4"/>
    <n v="73"/>
    <x v="1"/>
    <s v="Asian/Asian British"/>
    <x v="5"/>
    <x v="4"/>
    <s v="Discharged Home"/>
    <s v="No"/>
    <n v="28"/>
    <n v="30"/>
    <n v="0.93330000000000002"/>
    <n v="425"/>
    <n v="2720"/>
    <s v="ORTH-GEN"/>
    <s v="CC-ORTHO-02"/>
    <n v="2065.89"/>
    <n v="0.93333333333333335"/>
    <n v="0"/>
    <s v="65-79"/>
    <s v="Medium (3-7)"/>
    <d v="2025-01-01T00:00:00"/>
    <n v="2720"/>
    <s v="Normal"/>
  </r>
  <r>
    <s v="EX20024"/>
    <x v="6"/>
    <x v="6"/>
    <x v="1"/>
    <x v="21"/>
    <d v="2025-07-19T00:00:00"/>
    <n v="7.5"/>
    <n v="48"/>
    <x v="0"/>
    <s v="Other Ethnic Group"/>
    <x v="10"/>
    <x v="17"/>
    <s v="Discharged Home"/>
    <s v="No"/>
    <n v="26"/>
    <n v="30"/>
    <n v="0.86670000000000003"/>
    <n v="510"/>
    <n v="3825"/>
    <s v="ORTH-GEN"/>
    <s v="CC-ORTHO-02"/>
    <n v="6716.99"/>
    <n v="0.8666666666666667"/>
    <n v="0"/>
    <s v="35-49"/>
    <s v="Long (&gt;7)"/>
    <d v="2025-07-01T00:00:00"/>
    <n v="3825"/>
    <s v="Normal"/>
  </r>
  <r>
    <s v="EX20025"/>
    <x v="4"/>
    <x v="4"/>
    <x v="1"/>
    <x v="22"/>
    <d v="2025-06-13T00:00:00"/>
    <n v="3.4"/>
    <n v="20"/>
    <x v="1"/>
    <s v="White British"/>
    <x v="6"/>
    <x v="7"/>
    <s v="Discharged Home"/>
    <s v="No"/>
    <n v="29"/>
    <n v="30"/>
    <n v="0.9667"/>
    <n v="510"/>
    <n v="1734"/>
    <s v="RESP-GEN"/>
    <s v="CC-RESPI-08"/>
    <n v="1912.02"/>
    <n v="0.96666666666666667"/>
    <n v="0"/>
    <s v="18-34"/>
    <s v="Medium (3-7)"/>
    <d v="2025-06-01T00:00:00"/>
    <n v="1734"/>
    <s v="Normal"/>
  </r>
  <r>
    <s v="EX20026"/>
    <x v="7"/>
    <x v="7"/>
    <x v="1"/>
    <x v="23"/>
    <d v="2025-03-12T00:00:00"/>
    <n v="7.4"/>
    <n v="23"/>
    <x v="1"/>
    <s v="White British"/>
    <x v="12"/>
    <x v="12"/>
    <s v="Self-Discharge"/>
    <s v="No"/>
    <n v="13"/>
    <n v="30"/>
    <n v="0.43330000000000002"/>
    <n v="400"/>
    <n v="2960"/>
    <s v="PEDS-GEN"/>
    <s v="CC-PAEDS-06"/>
    <n v="1035.8499999999999"/>
    <n v="0.43333333333333335"/>
    <n v="0"/>
    <s v="18-34"/>
    <s v="Long (&gt;7)"/>
    <d v="2025-03-01T00:00:00"/>
    <n v="2960"/>
    <s v="Normal"/>
  </r>
  <r>
    <s v="EX20027"/>
    <x v="0"/>
    <x v="0"/>
    <x v="1"/>
    <x v="24"/>
    <d v="2025-11-12T00:00:00"/>
    <n v="3.6"/>
    <n v="20"/>
    <x v="1"/>
    <s v="Other Ethnic Group"/>
    <x v="0"/>
    <x v="18"/>
    <s v="Discharged to Community Care"/>
    <s v="No"/>
    <n v="19"/>
    <n v="30"/>
    <n v="0.63329999999999997"/>
    <n v="480"/>
    <n v="1728"/>
    <s v="NEUR-GEN"/>
    <s v="CC-NEURO-07"/>
    <n v="1694.8"/>
    <n v="0.6333333333333333"/>
    <n v="0"/>
    <s v="18-34"/>
    <s v="Medium (3-7)"/>
    <d v="2025-11-01T00:00:00"/>
    <n v="1728"/>
    <s v="Normal"/>
  </r>
  <r>
    <s v="EX20028"/>
    <x v="3"/>
    <x v="3"/>
    <x v="0"/>
    <x v="20"/>
    <d v="2025-01-30T00:00:00"/>
    <n v="2.2999999999999998"/>
    <n v="38"/>
    <x v="0"/>
    <s v="Black/African/Caribbean"/>
    <x v="5"/>
    <x v="4"/>
    <s v="Discharged Home"/>
    <s v="No"/>
    <n v="17"/>
    <n v="30"/>
    <n v="0.56669999999999998"/>
    <n v="375"/>
    <n v="862.5"/>
    <s v="CARD-GEN"/>
    <s v="CC-CARDIO-01"/>
    <n v="1259.5999999999999"/>
    <n v="0.56666666666666665"/>
    <n v="0"/>
    <s v="35-49"/>
    <s v="Short (&lt;3)"/>
    <d v="2025-01-01T00:00:00"/>
    <n v="862.49999999999989"/>
    <s v="Normal"/>
  </r>
  <r>
    <s v="EX20029"/>
    <x v="7"/>
    <x v="7"/>
    <x v="2"/>
    <x v="25"/>
    <d v="2025-05-15T00:00:00"/>
    <n v="4"/>
    <n v="37"/>
    <x v="0"/>
    <s v="Other Ethnic Group"/>
    <x v="11"/>
    <x v="19"/>
    <s v="Transfer to Other Trust"/>
    <s v="No"/>
    <n v="17"/>
    <n v="30"/>
    <n v="0.56669999999999998"/>
    <n v="350"/>
    <n v="1400"/>
    <s v="ONCO-GEN"/>
    <s v="CC-ONCOL-05"/>
    <n v="5999.05"/>
    <n v="0.56666666666666665"/>
    <n v="0"/>
    <s v="35-49"/>
    <s v="Medium (3-7)"/>
    <d v="2025-05-01T00:00:00"/>
    <n v="1400"/>
    <s v="Normal"/>
  </r>
  <r>
    <s v="EX20030"/>
    <x v="5"/>
    <x v="5"/>
    <x v="1"/>
    <x v="26"/>
    <d v="2025-08-11T00:00:00"/>
    <n v="0.8"/>
    <n v="29"/>
    <x v="1"/>
    <s v="Mixed/Multiple"/>
    <x v="9"/>
    <x v="15"/>
    <s v="Self-Discharge"/>
    <s v="No"/>
    <n v="27"/>
    <n v="30"/>
    <n v="0.9"/>
    <n v="450"/>
    <n v="360"/>
    <s v="CARD-GEN"/>
    <s v="CC-CARDIO-01"/>
    <n v="1780.61"/>
    <n v="0.9"/>
    <n v="0"/>
    <s v="18-34"/>
    <s v="Short (&lt;3)"/>
    <d v="2025-08-01T00:00:00"/>
    <n v="360"/>
    <s v="Normal"/>
  </r>
  <r>
    <s v="EX20031"/>
    <x v="5"/>
    <x v="5"/>
    <x v="2"/>
    <x v="27"/>
    <d v="2025-08-13T00:00:00"/>
    <n v="1.7"/>
    <n v="40"/>
    <x v="1"/>
    <s v="Black/African/Caribbean"/>
    <x v="9"/>
    <x v="15"/>
    <s v="Self-Discharge"/>
    <s v="No"/>
    <n v="17"/>
    <n v="30"/>
    <n v="0.56669999999999998"/>
    <n v="400"/>
    <n v="680"/>
    <s v="NEUR-GEN"/>
    <s v="CC-NEURO-07"/>
    <n v="3281.62"/>
    <n v="0.56666666666666665"/>
    <n v="0"/>
    <s v="35-49"/>
    <s v="Short (&lt;3)"/>
    <d v="2025-08-01T00:00:00"/>
    <n v="680"/>
    <s v="Normal"/>
  </r>
  <r>
    <s v="EX20032"/>
    <x v="1"/>
    <x v="1"/>
    <x v="1"/>
    <x v="28"/>
    <d v="2025-05-11T00:00:00"/>
    <n v="7.2"/>
    <n v="71"/>
    <x v="0"/>
    <s v="Mixed/Multiple"/>
    <x v="13"/>
    <x v="16"/>
    <s v="Discharged Home"/>
    <s v="No"/>
    <n v="30"/>
    <n v="30"/>
    <n v="1"/>
    <n v="400"/>
    <n v="2880"/>
    <s v="EMRG-GEN"/>
    <s v="CC-EMERG-04"/>
    <n v="402.57"/>
    <n v="1"/>
    <n v="0"/>
    <s v="65-79"/>
    <s v="Long (&gt;7)"/>
    <d v="2025-05-01T00:00:00"/>
    <n v="2880"/>
    <s v="Normal"/>
  </r>
  <r>
    <s v="EX20033"/>
    <x v="4"/>
    <x v="4"/>
    <x v="0"/>
    <x v="29"/>
    <d v="2025-04-08T00:00:00"/>
    <n v="1.4"/>
    <n v="22"/>
    <x v="0"/>
    <s v="White British"/>
    <x v="7"/>
    <x v="20"/>
    <s v="Discharged Home"/>
    <s v="No"/>
    <n v="21"/>
    <n v="30"/>
    <n v="0.7"/>
    <n v="480"/>
    <n v="672"/>
    <s v="PEDS-GEN"/>
    <s v="CC-PAEDS-06"/>
    <n v="1693.77"/>
    <n v="0.7"/>
    <n v="0"/>
    <s v="18-34"/>
    <s v="Short (&lt;3)"/>
    <d v="2025-04-01T00:00:00"/>
    <n v="672"/>
    <s v="Normal"/>
  </r>
  <r>
    <s v="EX20034"/>
    <x v="3"/>
    <x v="3"/>
    <x v="1"/>
    <x v="30"/>
    <d v="2025-12-12T00:00:00"/>
    <n v="2.5"/>
    <n v="55"/>
    <x v="1"/>
    <s v="Other Ethnic Group"/>
    <x v="4"/>
    <x v="4"/>
    <s v="Discharged Home"/>
    <s v="No"/>
    <n v="24"/>
    <n v="30"/>
    <n v="0.8"/>
    <n v="400"/>
    <n v="1000"/>
    <s v="ORTH-GEN"/>
    <s v="CC-ORTHO-02"/>
    <n v="4126.0200000000004"/>
    <n v="0.8"/>
    <n v="0"/>
    <s v="50-64"/>
    <s v="Short (&lt;3)"/>
    <d v="2025-12-01T00:00:00"/>
    <n v="1000"/>
    <s v="Normal"/>
  </r>
  <r>
    <s v="EX20035"/>
    <x v="3"/>
    <x v="3"/>
    <x v="1"/>
    <x v="31"/>
    <d v="2025-10-01T00:00:00"/>
    <n v="2.6"/>
    <n v="21"/>
    <x v="1"/>
    <s v="White British"/>
    <x v="5"/>
    <x v="4"/>
    <s v="Transfer to Other Trust"/>
    <s v="No"/>
    <n v="23"/>
    <n v="30"/>
    <n v="0.76670000000000005"/>
    <n v="350"/>
    <n v="910"/>
    <s v="RESP-GEN"/>
    <s v="CC-RESPI-08"/>
    <n v="2281.04"/>
    <n v="0.76666666666666672"/>
    <n v="0"/>
    <s v="18-34"/>
    <s v="Short (&lt;3)"/>
    <d v="2025-09-01T00:00:00"/>
    <n v="910"/>
    <s v="Normal"/>
  </r>
  <r>
    <s v="EX20036"/>
    <x v="4"/>
    <x v="4"/>
    <x v="0"/>
    <x v="32"/>
    <d v="2025-05-09T00:00:00"/>
    <n v="3.2"/>
    <n v="20"/>
    <x v="0"/>
    <s v="White British"/>
    <x v="6"/>
    <x v="20"/>
    <s v="Discharged Home"/>
    <s v="No"/>
    <n v="20"/>
    <n v="30"/>
    <n v="0.66669999999999996"/>
    <n v="450"/>
    <n v="1440"/>
    <s v="EMRG-GEN"/>
    <s v="CC-EMERG-04"/>
    <n v="540.35"/>
    <n v="0.66666666666666663"/>
    <n v="0"/>
    <s v="18-34"/>
    <s v="Medium (3-7)"/>
    <d v="2025-05-01T00:00:00"/>
    <n v="1440"/>
    <s v="Normal"/>
  </r>
  <r>
    <s v="EX20037"/>
    <x v="1"/>
    <x v="1"/>
    <x v="2"/>
    <x v="26"/>
    <d v="2025-08-14T00:00:00"/>
    <n v="3.9"/>
    <n v="65"/>
    <x v="0"/>
    <s v="Black/African/Caribbean"/>
    <x v="2"/>
    <x v="21"/>
    <s v="Discharged Home"/>
    <s v="No"/>
    <n v="23"/>
    <n v="30"/>
    <n v="0.76670000000000005"/>
    <n v="480"/>
    <n v="1872"/>
    <s v="RESP-GEN"/>
    <s v="CC-RESPI-08"/>
    <n v="3178.38"/>
    <n v="0.76666666666666672"/>
    <n v="0"/>
    <s v="65-79"/>
    <s v="Medium (3-7)"/>
    <d v="2025-08-01T00:00:00"/>
    <n v="1872"/>
    <s v="Normal"/>
  </r>
  <r>
    <s v="EX20038"/>
    <x v="1"/>
    <x v="1"/>
    <x v="1"/>
    <x v="31"/>
    <d v="2025-10-03T00:00:00"/>
    <n v="4.9000000000000004"/>
    <n v="46"/>
    <x v="1"/>
    <s v="Asian/Asian British"/>
    <x v="13"/>
    <x v="21"/>
    <s v="Discharged Home"/>
    <s v="No"/>
    <n v="19"/>
    <n v="30"/>
    <n v="0.63329999999999997"/>
    <n v="450"/>
    <n v="2205"/>
    <s v="CARD-GEN"/>
    <s v="CC-CARDIO-01"/>
    <n v="2659.47"/>
    <n v="0.6333333333333333"/>
    <n v="0"/>
    <s v="35-49"/>
    <s v="Medium (3-7)"/>
    <d v="2025-09-01T00:00:00"/>
    <n v="2205"/>
    <s v="Normal"/>
  </r>
  <r>
    <s v="EX20039"/>
    <x v="5"/>
    <x v="5"/>
    <x v="0"/>
    <x v="33"/>
    <d v="2025-12-08T00:00:00"/>
    <n v="1.4"/>
    <n v="51"/>
    <x v="0"/>
    <s v="Not Stated"/>
    <x v="14"/>
    <x v="10"/>
    <s v="Self-Discharge"/>
    <s v="Yes"/>
    <n v="21"/>
    <n v="30"/>
    <n v="0.7"/>
    <n v="350"/>
    <n v="490"/>
    <s v="PEDS-GEN"/>
    <s v="CC-PAEDS-06"/>
    <n v="770.8"/>
    <n v="0.7"/>
    <n v="1"/>
    <s v="50-64"/>
    <s v="Short (&lt;3)"/>
    <d v="2025-12-01T00:00:00"/>
    <n v="489.99999999999994"/>
    <s v="Normal"/>
  </r>
  <r>
    <s v="EX20040"/>
    <x v="2"/>
    <x v="2"/>
    <x v="0"/>
    <x v="34"/>
    <d v="2025-08-13T00:00:00"/>
    <n v="6.8"/>
    <n v="83"/>
    <x v="1"/>
    <s v="Mixed/Multiple"/>
    <x v="3"/>
    <x v="22"/>
    <s v="Transfer to Other Trust"/>
    <s v="No"/>
    <n v="18"/>
    <n v="30"/>
    <n v="0.6"/>
    <n v="510"/>
    <n v="3468"/>
    <s v="GENM-GEN"/>
    <s v="CC-GENMED-03"/>
    <n v="1477.52"/>
    <n v="0.6"/>
    <n v="0"/>
    <s v="80+"/>
    <s v="Medium (3-7)"/>
    <d v="2025-08-01T00:00:00"/>
    <n v="3468"/>
    <s v="Normal"/>
  </r>
  <r>
    <s v="EX20041"/>
    <x v="1"/>
    <x v="1"/>
    <x v="1"/>
    <x v="35"/>
    <d v="2025-08-29T00:00:00"/>
    <n v="8.9"/>
    <n v="28"/>
    <x v="0"/>
    <s v="White British"/>
    <x v="13"/>
    <x v="16"/>
    <s v="Transfer to Other Trust"/>
    <s v="No"/>
    <n v="25"/>
    <n v="30"/>
    <n v="0.83330000000000004"/>
    <n v="375"/>
    <n v="3337.5"/>
    <s v="EMRG-GEN"/>
    <s v="CC-EMERG-04"/>
    <n v="1014.62"/>
    <n v="0.83333333333333337"/>
    <n v="0"/>
    <s v="18-34"/>
    <s v="Long (&gt;7)"/>
    <d v="2025-08-01T00:00:00"/>
    <n v="3337.5"/>
    <s v="Normal"/>
  </r>
  <r>
    <s v="EX20042"/>
    <x v="6"/>
    <x v="6"/>
    <x v="2"/>
    <x v="36"/>
    <d v="2025-03-10T00:00:00"/>
    <n v="6.8"/>
    <n v="31"/>
    <x v="0"/>
    <s v="Black/African/Caribbean"/>
    <x v="15"/>
    <x v="17"/>
    <s v="Discharged Home"/>
    <s v="No"/>
    <n v="21"/>
    <n v="30"/>
    <n v="0.7"/>
    <n v="510"/>
    <n v="3468"/>
    <s v="GENM-GEN"/>
    <s v="CC-GENMED-03"/>
    <n v="2998.73"/>
    <n v="0.7"/>
    <n v="0"/>
    <s v="18-34"/>
    <s v="Medium (3-7)"/>
    <d v="2025-03-01T00:00:00"/>
    <n v="3468"/>
    <s v="Normal"/>
  </r>
  <r>
    <s v="EX20043"/>
    <x v="3"/>
    <x v="3"/>
    <x v="0"/>
    <x v="37"/>
    <d v="2025-02-25T00:00:00"/>
    <n v="2.9"/>
    <n v="71"/>
    <x v="0"/>
    <s v="Other Ethnic Group"/>
    <x v="5"/>
    <x v="4"/>
    <s v="Discharged Home"/>
    <s v="No"/>
    <n v="21"/>
    <n v="30"/>
    <n v="0.7"/>
    <n v="450"/>
    <n v="1305"/>
    <s v="RESP-GEN"/>
    <s v="CC-RESPI-08"/>
    <n v="2436.6799999999998"/>
    <n v="0.7"/>
    <n v="0"/>
    <s v="65-79"/>
    <s v="Short (&lt;3)"/>
    <d v="2025-02-01T00:00:00"/>
    <n v="1305"/>
    <s v="Normal"/>
  </r>
  <r>
    <s v="EX20044"/>
    <x v="7"/>
    <x v="7"/>
    <x v="1"/>
    <x v="38"/>
    <d v="2025-05-31T00:00:00"/>
    <n v="10"/>
    <n v="26"/>
    <x v="1"/>
    <s v="Black/African/Caribbean"/>
    <x v="12"/>
    <x v="23"/>
    <s v="Discharged Home"/>
    <s v="Yes"/>
    <n v="27"/>
    <n v="30"/>
    <n v="0.9"/>
    <n v="450"/>
    <n v="4500"/>
    <s v="GENM-GEN"/>
    <s v="CC-GENMED-03"/>
    <n v="1612.38"/>
    <n v="0.9"/>
    <n v="1"/>
    <s v="18-34"/>
    <s v="Long (&gt;7)"/>
    <d v="2025-05-01T00:00:00"/>
    <n v="4500"/>
    <s v="Normal"/>
  </r>
  <r>
    <s v="EX20045"/>
    <x v="5"/>
    <x v="5"/>
    <x v="1"/>
    <x v="39"/>
    <d v="2025-08-19T00:00:00"/>
    <n v="1"/>
    <n v="41"/>
    <x v="0"/>
    <s v="Asian/Asian British"/>
    <x v="9"/>
    <x v="15"/>
    <s v="Discharged Home"/>
    <s v="No"/>
    <n v="16"/>
    <n v="30"/>
    <n v="0.5333"/>
    <n v="450"/>
    <n v="450"/>
    <s v="GENM-GEN"/>
    <s v="CC-GENMED-03"/>
    <n v="914.13"/>
    <n v="0.53333333333333333"/>
    <n v="0"/>
    <s v="35-49"/>
    <s v="Short (&lt;3)"/>
    <d v="2025-08-01T00:00:00"/>
    <n v="450"/>
    <s v="Normal"/>
  </r>
  <r>
    <s v="EX20046"/>
    <x v="5"/>
    <x v="5"/>
    <x v="1"/>
    <x v="40"/>
    <d v="2025-11-06T00:00:00"/>
    <n v="1.5"/>
    <n v="73"/>
    <x v="1"/>
    <s v="Mixed/Multiple"/>
    <x v="9"/>
    <x v="24"/>
    <s v="Self-Discharge"/>
    <s v="No"/>
    <n v="24"/>
    <n v="30"/>
    <n v="0.8"/>
    <n v="510"/>
    <n v="765"/>
    <s v="CARD-GEN"/>
    <s v="CC-CARDIO-01"/>
    <n v="1834.83"/>
    <n v="0.8"/>
    <n v="0"/>
    <s v="65-79"/>
    <s v="Short (&lt;3)"/>
    <d v="2025-11-01T00:00:00"/>
    <n v="765"/>
    <s v="Normal"/>
  </r>
  <r>
    <s v="EX20047"/>
    <x v="1"/>
    <x v="1"/>
    <x v="2"/>
    <x v="41"/>
    <d v="2025-08-08T00:00:00"/>
    <n v="3.7"/>
    <n v="28"/>
    <x v="0"/>
    <s v="White British"/>
    <x v="13"/>
    <x v="16"/>
    <s v="Discharged Home"/>
    <s v="No"/>
    <n v="15"/>
    <n v="30"/>
    <n v="0.5"/>
    <n v="375"/>
    <n v="1387.5"/>
    <s v="ORTH-GEN"/>
    <s v="CC-ORTHO-02"/>
    <n v="2788.86"/>
    <n v="0.5"/>
    <n v="0"/>
    <s v="18-34"/>
    <s v="Medium (3-7)"/>
    <d v="2025-08-01T00:00:00"/>
    <n v="1387.5"/>
    <s v="Normal"/>
  </r>
  <r>
    <s v="EX20048"/>
    <x v="3"/>
    <x v="3"/>
    <x v="1"/>
    <x v="42"/>
    <d v="2025-12-31T00:00:00"/>
    <n v="2.9"/>
    <n v="42"/>
    <x v="0"/>
    <s v="Mixed/Multiple"/>
    <x v="5"/>
    <x v="25"/>
    <s v="Discharged Home"/>
    <s v="No"/>
    <n v="18"/>
    <n v="30"/>
    <n v="0.6"/>
    <n v="510"/>
    <n v="1479"/>
    <s v="CARD-GEN"/>
    <s v="CC-CARDIO-01"/>
    <n v="3403.63"/>
    <n v="0.6"/>
    <n v="0"/>
    <s v="35-49"/>
    <s v="Short (&lt;3)"/>
    <d v="2025-12-01T00:00:00"/>
    <n v="1479"/>
    <s v="Normal"/>
  </r>
  <r>
    <s v="EX20049"/>
    <x v="7"/>
    <x v="7"/>
    <x v="0"/>
    <x v="43"/>
    <d v="2025-06-28T00:00:00"/>
    <n v="7.5"/>
    <n v="50"/>
    <x v="0"/>
    <s v="Mixed/Multiple"/>
    <x v="12"/>
    <x v="23"/>
    <s v="Discharged Home"/>
    <s v="No"/>
    <n v="13"/>
    <n v="30"/>
    <n v="0.43330000000000002"/>
    <n v="375"/>
    <n v="2812.5"/>
    <s v="GENM-GEN"/>
    <s v="CC-GENMED-03"/>
    <n v="2792.85"/>
    <n v="0.43333333333333335"/>
    <n v="0"/>
    <s v="50-64"/>
    <s v="Long (&gt;7)"/>
    <d v="2025-06-01T00:00:00"/>
    <n v="2812.5"/>
    <s v="Normal"/>
  </r>
  <r>
    <s v="EX20050"/>
    <x v="4"/>
    <x v="4"/>
    <x v="1"/>
    <x v="44"/>
    <d v="2025-04-21T00:00:00"/>
    <n v="4.2"/>
    <n v="72"/>
    <x v="0"/>
    <s v="White British"/>
    <x v="7"/>
    <x v="20"/>
    <s v="Self-Discharge"/>
    <s v="No"/>
    <n v="29"/>
    <n v="30"/>
    <n v="0.9667"/>
    <n v="450"/>
    <n v="1890"/>
    <s v="RESP-GEN"/>
    <s v="CC-RESPI-08"/>
    <n v="3029.28"/>
    <n v="0.96666666666666667"/>
    <n v="0"/>
    <s v="65-79"/>
    <s v="Medium (3-7)"/>
    <d v="2025-04-01T00:00:00"/>
    <n v="1890"/>
    <s v="Normal"/>
  </r>
  <r>
    <s v="EX20051"/>
    <x v="7"/>
    <x v="7"/>
    <x v="2"/>
    <x v="45"/>
    <d v="2025-01-17T00:00:00"/>
    <n v="8.6999999999999993"/>
    <n v="34"/>
    <x v="0"/>
    <s v="White British"/>
    <x v="11"/>
    <x v="12"/>
    <s v="Self-Discharge"/>
    <s v="No"/>
    <n v="21"/>
    <n v="30"/>
    <n v="0.7"/>
    <n v="450"/>
    <n v="3915"/>
    <s v="NEUR-GEN"/>
    <s v="CC-NEURO-07"/>
    <n v="3116.99"/>
    <n v="0.7"/>
    <n v="0"/>
    <s v="18-34"/>
    <s v="Long (&gt;7)"/>
    <d v="2025-01-01T00:00:00"/>
    <n v="3914.9999999999995"/>
    <s v="Normal"/>
  </r>
  <r>
    <s v="EX20052"/>
    <x v="4"/>
    <x v="4"/>
    <x v="1"/>
    <x v="46"/>
    <d v="2025-10-13T00:00:00"/>
    <n v="2.2999999999999998"/>
    <n v="30"/>
    <x v="1"/>
    <s v="White British"/>
    <x v="7"/>
    <x v="9"/>
    <s v="Discharged Home"/>
    <s v="No"/>
    <n v="17"/>
    <n v="30"/>
    <n v="0.56669999999999998"/>
    <n v="480"/>
    <n v="1104"/>
    <s v="ORTH-GEN"/>
    <s v="CC-ORTHO-02"/>
    <n v="6886.42"/>
    <n v="0.56666666666666665"/>
    <n v="0"/>
    <s v="18-34"/>
    <s v="Short (&lt;3)"/>
    <d v="2025-10-01T00:00:00"/>
    <n v="1104"/>
    <s v="Normal"/>
  </r>
  <r>
    <s v="EX20053"/>
    <x v="6"/>
    <x v="6"/>
    <x v="1"/>
    <x v="47"/>
    <d v="2025-11-20T00:00:00"/>
    <n v="2.6"/>
    <n v="87"/>
    <x v="0"/>
    <s v="Asian/Asian British"/>
    <x v="15"/>
    <x v="14"/>
    <s v="Discharged Home"/>
    <s v="No"/>
    <n v="23"/>
    <n v="30"/>
    <n v="0.76670000000000005"/>
    <n v="375"/>
    <n v="975"/>
    <s v="NEUR-GEN"/>
    <s v="CC-NEURO-07"/>
    <n v="1806.94"/>
    <n v="0.76666666666666672"/>
    <n v="0"/>
    <s v="80+"/>
    <s v="Short (&lt;3)"/>
    <d v="2025-11-01T00:00:00"/>
    <n v="975"/>
    <s v="Normal"/>
  </r>
  <r>
    <s v="EX20054"/>
    <x v="3"/>
    <x v="3"/>
    <x v="2"/>
    <x v="48"/>
    <d v="2025-05-20T00:00:00"/>
    <n v="5.0999999999999996"/>
    <n v="65"/>
    <x v="0"/>
    <s v="Asian/Asian British"/>
    <x v="5"/>
    <x v="4"/>
    <s v="Discharged to Community Care"/>
    <s v="No"/>
    <n v="21"/>
    <n v="30"/>
    <n v="0.7"/>
    <n v="480"/>
    <n v="2448"/>
    <s v="ORTH-GEN"/>
    <s v="CC-ORTHO-02"/>
    <n v="7517.68"/>
    <n v="0.7"/>
    <n v="0"/>
    <s v="65-79"/>
    <s v="Medium (3-7)"/>
    <d v="2025-05-01T00:00:00"/>
    <n v="2448"/>
    <s v="Normal"/>
  </r>
  <r>
    <s v="EX20055"/>
    <x v="7"/>
    <x v="7"/>
    <x v="0"/>
    <x v="49"/>
    <d v="2025-03-11T00:00:00"/>
    <n v="3.5"/>
    <n v="34"/>
    <x v="1"/>
    <s v="Other Ethnic Group"/>
    <x v="11"/>
    <x v="12"/>
    <s v="Discharged Home"/>
    <s v="No"/>
    <n v="25"/>
    <n v="30"/>
    <n v="0.83330000000000004"/>
    <n v="375"/>
    <n v="1312.5"/>
    <s v="GENM-GEN"/>
    <s v="CC-GENMED-03"/>
    <n v="2546.2600000000002"/>
    <n v="0.83333333333333337"/>
    <n v="0"/>
    <s v="18-34"/>
    <s v="Medium (3-7)"/>
    <d v="2025-03-01T00:00:00"/>
    <n v="1312.5"/>
    <s v="Normal"/>
  </r>
  <r>
    <s v="EX20056"/>
    <x v="3"/>
    <x v="3"/>
    <x v="1"/>
    <x v="50"/>
    <d v="2025-06-08T00:00:00"/>
    <n v="3.6"/>
    <n v="62"/>
    <x v="0"/>
    <s v="Black/African/Caribbean"/>
    <x v="5"/>
    <x v="26"/>
    <s v="Self-Discharge"/>
    <s v="No"/>
    <n v="27"/>
    <n v="30"/>
    <n v="0.9"/>
    <n v="350"/>
    <n v="1260"/>
    <s v="ONCO-GEN"/>
    <s v="CC-ONCOL-05"/>
    <n v="5577.51"/>
    <n v="0.9"/>
    <n v="0"/>
    <s v="50-64"/>
    <s v="Medium (3-7)"/>
    <d v="2025-06-01T00:00:00"/>
    <n v="1260"/>
    <s v="Normal"/>
  </r>
  <r>
    <s v="EX20057"/>
    <x v="7"/>
    <x v="7"/>
    <x v="1"/>
    <x v="51"/>
    <d v="2025-09-29T00:00:00"/>
    <n v="12.9"/>
    <n v="26"/>
    <x v="1"/>
    <s v="Mixed/Multiple"/>
    <x v="11"/>
    <x v="12"/>
    <s v="Self-Discharge"/>
    <s v="No"/>
    <n v="13"/>
    <n v="30"/>
    <n v="0.43330000000000002"/>
    <n v="450"/>
    <n v="5805"/>
    <s v="CARD-GEN"/>
    <s v="CC-CARDIO-01"/>
    <n v="1917.77"/>
    <n v="0.43333333333333335"/>
    <n v="0"/>
    <s v="18-34"/>
    <s v="Long (&gt;7)"/>
    <d v="2025-09-01T00:00:00"/>
    <n v="5805"/>
    <s v="Normal"/>
  </r>
  <r>
    <s v="EX20058"/>
    <x v="1"/>
    <x v="1"/>
    <x v="2"/>
    <x v="52"/>
    <d v="2025-04-29T00:00:00"/>
    <n v="8.8000000000000007"/>
    <n v="75"/>
    <x v="1"/>
    <s v="Other Ethnic Group"/>
    <x v="2"/>
    <x v="27"/>
    <s v="Self-Discharge"/>
    <s v="No"/>
    <n v="12"/>
    <n v="30"/>
    <n v="0.4"/>
    <n v="480"/>
    <n v="4224"/>
    <s v="NEUR-GEN"/>
    <s v="CC-NEURO-07"/>
    <n v="1756.85"/>
    <n v="0.4"/>
    <n v="0"/>
    <s v="65-79"/>
    <s v="Long (&gt;7)"/>
    <d v="2025-04-01T00:00:00"/>
    <n v="4224"/>
    <s v="Normal"/>
  </r>
  <r>
    <s v="EX20059"/>
    <x v="5"/>
    <x v="5"/>
    <x v="2"/>
    <x v="53"/>
    <d v="2025-11-07T00:00:00"/>
    <n v="0.9"/>
    <n v="73"/>
    <x v="1"/>
    <s v="White British"/>
    <x v="14"/>
    <x v="24"/>
    <s v="Discharged to Community Care"/>
    <s v="No"/>
    <n v="13"/>
    <n v="30"/>
    <n v="0.43330000000000002"/>
    <n v="350"/>
    <n v="315"/>
    <s v="PEDS-GEN"/>
    <s v="CC-PAEDS-06"/>
    <n v="1223.0999999999999"/>
    <n v="0.43333333333333335"/>
    <n v="0"/>
    <s v="65-79"/>
    <s v="Short (&lt;3)"/>
    <d v="2025-11-01T00:00:00"/>
    <n v="315"/>
    <s v="Normal"/>
  </r>
  <r>
    <s v="EX20060"/>
    <x v="7"/>
    <x v="7"/>
    <x v="2"/>
    <x v="54"/>
    <d v="2025-11-19T00:00:00"/>
    <n v="2.4"/>
    <n v="68"/>
    <x v="1"/>
    <s v="Not Stated"/>
    <x v="12"/>
    <x v="23"/>
    <s v="Discharged Home"/>
    <s v="No"/>
    <n v="23"/>
    <n v="30"/>
    <n v="0.76670000000000005"/>
    <n v="450"/>
    <n v="1080"/>
    <s v="GENM-GEN"/>
    <s v="CC-GENMED-03"/>
    <n v="2724.74"/>
    <n v="0.76666666666666672"/>
    <n v="0"/>
    <s v="65-79"/>
    <s v="Short (&lt;3)"/>
    <d v="2025-11-01T00:00:00"/>
    <n v="1080"/>
    <s v="Normal"/>
  </r>
  <r>
    <s v="EX20061"/>
    <x v="3"/>
    <x v="3"/>
    <x v="2"/>
    <x v="15"/>
    <d v="2025-06-22T00:00:00"/>
    <n v="4.5"/>
    <n v="43"/>
    <x v="0"/>
    <s v="Other Ethnic Group"/>
    <x v="4"/>
    <x v="5"/>
    <s v="Discharged to Community Care"/>
    <s v="No"/>
    <n v="27"/>
    <n v="30"/>
    <n v="0.9"/>
    <n v="400"/>
    <n v="1800"/>
    <s v="NEUR-GEN"/>
    <s v="CC-NEURO-07"/>
    <n v="1680.38"/>
    <n v="0.9"/>
    <n v="0"/>
    <s v="35-49"/>
    <s v="Medium (3-7)"/>
    <d v="2025-06-01T00:00:00"/>
    <n v="1800"/>
    <s v="Normal"/>
  </r>
  <r>
    <s v="EX20062"/>
    <x v="1"/>
    <x v="1"/>
    <x v="0"/>
    <x v="42"/>
    <d v="2026-01-04T00:00:00"/>
    <n v="6.3"/>
    <n v="56"/>
    <x v="0"/>
    <s v="White British"/>
    <x v="13"/>
    <x v="2"/>
    <s v="Self-Discharge"/>
    <s v="No"/>
    <n v="19"/>
    <n v="30"/>
    <n v="0.63329999999999997"/>
    <n v="400"/>
    <n v="2520"/>
    <s v="EMRG-GEN"/>
    <s v="CC-EMERG-04"/>
    <n v="603.98"/>
    <n v="0.6333333333333333"/>
    <n v="0"/>
    <s v="50-64"/>
    <s v="Medium (3-7)"/>
    <d v="2025-12-01T00:00:00"/>
    <n v="2520"/>
    <s v="Normal"/>
  </r>
  <r>
    <s v="EX20063"/>
    <x v="3"/>
    <x v="3"/>
    <x v="2"/>
    <x v="55"/>
    <d v="2025-03-27T00:00:00"/>
    <n v="4.2"/>
    <n v="50"/>
    <x v="1"/>
    <s v="Black/African/Caribbean"/>
    <x v="4"/>
    <x v="26"/>
    <s v="Discharged Home"/>
    <s v="No"/>
    <n v="23"/>
    <n v="30"/>
    <n v="0.76670000000000005"/>
    <n v="400"/>
    <n v="1680"/>
    <s v="CARD-GEN"/>
    <s v="CC-CARDIO-01"/>
    <n v="1234.79"/>
    <n v="0.76666666666666672"/>
    <n v="0"/>
    <s v="50-64"/>
    <s v="Medium (3-7)"/>
    <d v="2025-03-01T00:00:00"/>
    <n v="1680"/>
    <s v="Normal"/>
  </r>
  <r>
    <s v="EX20064"/>
    <x v="3"/>
    <x v="3"/>
    <x v="2"/>
    <x v="56"/>
    <d v="2025-03-25T00:00:00"/>
    <n v="4.3"/>
    <n v="79"/>
    <x v="1"/>
    <s v="Other Ethnic Group"/>
    <x v="5"/>
    <x v="25"/>
    <s v="Discharged to Community Care"/>
    <s v="No"/>
    <n v="13"/>
    <n v="30"/>
    <n v="0.43330000000000002"/>
    <n v="375"/>
    <n v="1612.5"/>
    <s v="EMRG-GEN"/>
    <s v="CC-EMERG-04"/>
    <n v="395.99"/>
    <n v="0.43333333333333335"/>
    <n v="0"/>
    <s v="65-79"/>
    <s v="Medium (3-7)"/>
    <d v="2025-03-01T00:00:00"/>
    <n v="1612.5"/>
    <s v="Normal"/>
  </r>
  <r>
    <s v="EX20065"/>
    <x v="0"/>
    <x v="0"/>
    <x v="1"/>
    <x v="57"/>
    <d v="2025-08-31T00:00:00"/>
    <n v="3.5"/>
    <n v="68"/>
    <x v="1"/>
    <s v="Not Stated"/>
    <x v="0"/>
    <x v="1"/>
    <s v="Discharged Home"/>
    <s v="Yes"/>
    <n v="14"/>
    <n v="30"/>
    <n v="0.4667"/>
    <n v="375"/>
    <n v="1312.5"/>
    <s v="RESP-GEN"/>
    <s v="CC-RESPI-08"/>
    <n v="2919.38"/>
    <n v="0.46666666666666667"/>
    <n v="1"/>
    <s v="65-79"/>
    <s v="Medium (3-7)"/>
    <d v="2025-08-01T00:00:00"/>
    <n v="1312.5"/>
    <s v="Normal"/>
  </r>
  <r>
    <s v="EX20066"/>
    <x v="1"/>
    <x v="1"/>
    <x v="1"/>
    <x v="47"/>
    <d v="2025-11-27T00:00:00"/>
    <n v="9.1"/>
    <n v="67"/>
    <x v="1"/>
    <s v="White British"/>
    <x v="2"/>
    <x v="16"/>
    <s v="Discharged Home"/>
    <s v="No"/>
    <n v="17"/>
    <n v="30"/>
    <n v="0.56669999999999998"/>
    <n v="350"/>
    <n v="3185"/>
    <s v="ONCO-GEN"/>
    <s v="CC-ONCOL-05"/>
    <n v="3452.89"/>
    <n v="0.56666666666666665"/>
    <n v="0"/>
    <s v="65-79"/>
    <s v="Long (&gt;7)"/>
    <d v="2025-11-01T00:00:00"/>
    <n v="3185"/>
    <s v="Normal"/>
  </r>
  <r>
    <s v="EX20067"/>
    <x v="6"/>
    <x v="6"/>
    <x v="2"/>
    <x v="58"/>
    <d v="2025-02-19T00:00:00"/>
    <n v="5.8"/>
    <n v="51"/>
    <x v="0"/>
    <s v="Asian/Asian British"/>
    <x v="10"/>
    <x v="17"/>
    <s v="Self-Discharge"/>
    <s v="No"/>
    <n v="25"/>
    <n v="30"/>
    <n v="0.83330000000000004"/>
    <n v="450"/>
    <n v="2610"/>
    <s v="NEUR-GEN"/>
    <s v="CC-NEURO-07"/>
    <n v="3478.63"/>
    <n v="0.83333333333333337"/>
    <n v="0"/>
    <s v="50-64"/>
    <s v="Medium (3-7)"/>
    <d v="2025-02-01T00:00:00"/>
    <n v="2610"/>
    <s v="Normal"/>
  </r>
  <r>
    <s v="EX20068"/>
    <x v="0"/>
    <x v="0"/>
    <x v="1"/>
    <x v="59"/>
    <d v="2025-05-29T00:00:00"/>
    <n v="7.2"/>
    <n v="36"/>
    <x v="0"/>
    <s v="Mixed/Multiple"/>
    <x v="0"/>
    <x v="8"/>
    <s v="Transfer to Other Trust"/>
    <s v="No"/>
    <n v="26"/>
    <n v="30"/>
    <n v="0.86670000000000003"/>
    <n v="425"/>
    <n v="3060"/>
    <s v="GENM-GEN"/>
    <s v="CC-GENMED-03"/>
    <n v="2279.4"/>
    <n v="0.8666666666666667"/>
    <n v="0"/>
    <s v="35-49"/>
    <s v="Long (&gt;7)"/>
    <d v="2025-05-01T00:00:00"/>
    <n v="3060"/>
    <s v="Normal"/>
  </r>
  <r>
    <s v="EX20069"/>
    <x v="3"/>
    <x v="3"/>
    <x v="0"/>
    <x v="60"/>
    <d v="2025-12-22T00:00:00"/>
    <n v="4.0999999999999996"/>
    <n v="56"/>
    <x v="0"/>
    <s v="Mixed/Multiple"/>
    <x v="4"/>
    <x v="4"/>
    <s v="Transfer to Other Trust"/>
    <s v="No"/>
    <n v="26"/>
    <n v="30"/>
    <n v="0.86670000000000003"/>
    <n v="350"/>
    <n v="1435"/>
    <s v="PEDS-GEN"/>
    <s v="CC-PAEDS-06"/>
    <n v="1255.0999999999999"/>
    <n v="0.8666666666666667"/>
    <n v="0"/>
    <s v="50-64"/>
    <s v="Medium (3-7)"/>
    <d v="2025-12-01T00:00:00"/>
    <n v="1434.9999999999998"/>
    <s v="Normal"/>
  </r>
  <r>
    <s v="EX20070"/>
    <x v="5"/>
    <x v="5"/>
    <x v="2"/>
    <x v="61"/>
    <d v="2025-06-27T00:00:00"/>
    <n v="1.5"/>
    <n v="58"/>
    <x v="0"/>
    <s v="Other Ethnic Group"/>
    <x v="9"/>
    <x v="15"/>
    <s v="Discharged Home"/>
    <s v="No"/>
    <n v="25"/>
    <n v="30"/>
    <n v="0.83330000000000004"/>
    <n v="450"/>
    <n v="675"/>
    <s v="RESP-GEN"/>
    <s v="CC-RESPI-08"/>
    <n v="2586.67"/>
    <n v="0.83333333333333337"/>
    <n v="0"/>
    <s v="50-64"/>
    <s v="Short (&lt;3)"/>
    <d v="2025-06-01T00:00:00"/>
    <n v="675"/>
    <s v="Normal"/>
  </r>
  <r>
    <s v="EX20071"/>
    <x v="6"/>
    <x v="6"/>
    <x v="2"/>
    <x v="19"/>
    <d v="2025-03-11T00:00:00"/>
    <n v="5.5"/>
    <n v="46"/>
    <x v="1"/>
    <s v="White British"/>
    <x v="15"/>
    <x v="28"/>
    <s v="Discharged Home"/>
    <s v="No"/>
    <n v="18"/>
    <n v="30"/>
    <n v="0.6"/>
    <n v="510"/>
    <n v="2805"/>
    <s v="CARD-GEN"/>
    <s v="CC-CARDIO-01"/>
    <n v="1920.15"/>
    <n v="0.6"/>
    <n v="0"/>
    <s v="35-49"/>
    <s v="Medium (3-7)"/>
    <d v="2025-03-01T00:00:00"/>
    <n v="2805"/>
    <s v="Normal"/>
  </r>
  <r>
    <s v="EX20072"/>
    <x v="6"/>
    <x v="6"/>
    <x v="1"/>
    <x v="62"/>
    <d v="2025-04-30T00:00:00"/>
    <n v="7.6"/>
    <n v="45"/>
    <x v="0"/>
    <s v="White British"/>
    <x v="15"/>
    <x v="14"/>
    <s v="Transfer to Other Trust"/>
    <s v="No"/>
    <n v="23"/>
    <n v="30"/>
    <n v="0.76670000000000005"/>
    <n v="400"/>
    <n v="3040"/>
    <s v="GENM-GEN"/>
    <s v="CC-GENMED-03"/>
    <n v="2469.8200000000002"/>
    <n v="0.76666666666666672"/>
    <n v="0"/>
    <s v="35-49"/>
    <s v="Long (&gt;7)"/>
    <d v="2025-04-01T00:00:00"/>
    <n v="3040"/>
    <s v="Normal"/>
  </r>
  <r>
    <s v="EX20073"/>
    <x v="4"/>
    <x v="4"/>
    <x v="1"/>
    <x v="63"/>
    <d v="2025-05-07T00:00:00"/>
    <n v="2.2000000000000002"/>
    <n v="31"/>
    <x v="1"/>
    <s v="Mixed/Multiple"/>
    <x v="6"/>
    <x v="20"/>
    <s v="Transfer to Other Trust"/>
    <s v="No"/>
    <n v="21"/>
    <n v="30"/>
    <n v="0.7"/>
    <n v="510"/>
    <n v="1122"/>
    <s v="GENM-GEN"/>
    <s v="CC-GENMED-03"/>
    <n v="2746.32"/>
    <n v="0.7"/>
    <n v="0"/>
    <s v="18-34"/>
    <s v="Short (&lt;3)"/>
    <d v="2025-05-01T00:00:00"/>
    <n v="1122"/>
    <s v="Normal"/>
  </r>
  <r>
    <s v="EX20074"/>
    <x v="4"/>
    <x v="4"/>
    <x v="1"/>
    <x v="64"/>
    <d v="2025-04-09T00:00:00"/>
    <n v="3.8"/>
    <n v="56"/>
    <x v="0"/>
    <s v="Other Ethnic Group"/>
    <x v="7"/>
    <x v="7"/>
    <s v="Transfer to Other Trust"/>
    <s v="No"/>
    <n v="20"/>
    <n v="30"/>
    <n v="0.66669999999999996"/>
    <n v="350"/>
    <n v="1330"/>
    <s v="NEUR-GEN"/>
    <s v="CC-NEURO-07"/>
    <n v="3881.6"/>
    <n v="0.66666666666666663"/>
    <n v="0"/>
    <s v="50-64"/>
    <s v="Medium (3-7)"/>
    <d v="2025-04-01T00:00:00"/>
    <n v="1330"/>
    <s v="Normal"/>
  </r>
  <r>
    <s v="EX20075"/>
    <x v="1"/>
    <x v="1"/>
    <x v="1"/>
    <x v="65"/>
    <d v="2025-03-07T00:00:00"/>
    <n v="10.8"/>
    <n v="72"/>
    <x v="1"/>
    <s v="Other Ethnic Group"/>
    <x v="13"/>
    <x v="16"/>
    <s v="Discharged Home"/>
    <s v="Yes"/>
    <n v="23"/>
    <n v="30"/>
    <n v="0.76670000000000005"/>
    <n v="400"/>
    <n v="4320"/>
    <s v="ORTH-GEN"/>
    <s v="CC-ORTHO-02"/>
    <n v="6735.18"/>
    <n v="0.76666666666666672"/>
    <n v="1"/>
    <s v="65-79"/>
    <s v="Long (&gt;7)"/>
    <d v="2025-02-01T00:00:00"/>
    <n v="4320"/>
    <s v="Normal"/>
  </r>
  <r>
    <s v="EX20076"/>
    <x v="4"/>
    <x v="4"/>
    <x v="1"/>
    <x v="66"/>
    <d v="2025-06-17T00:00:00"/>
    <n v="4.7"/>
    <n v="51"/>
    <x v="0"/>
    <s v="White British"/>
    <x v="6"/>
    <x v="6"/>
    <s v="Discharged to Community Care"/>
    <s v="No"/>
    <n v="14"/>
    <n v="30"/>
    <n v="0.4667"/>
    <n v="350"/>
    <n v="1645"/>
    <s v="ORTH-GEN"/>
    <s v="CC-ORTHO-02"/>
    <n v="2106.6999999999998"/>
    <n v="0.46666666666666667"/>
    <n v="0"/>
    <s v="50-64"/>
    <s v="Medium (3-7)"/>
    <d v="2025-06-01T00:00:00"/>
    <n v="1645"/>
    <s v="Normal"/>
  </r>
  <r>
    <s v="EX20077"/>
    <x v="2"/>
    <x v="2"/>
    <x v="2"/>
    <x v="67"/>
    <d v="2025-02-17T00:00:00"/>
    <n v="6.1"/>
    <n v="67"/>
    <x v="1"/>
    <s v="White British"/>
    <x v="3"/>
    <x v="13"/>
    <s v="Discharged Home"/>
    <s v="Yes"/>
    <n v="20"/>
    <n v="30"/>
    <n v="0.66669999999999996"/>
    <n v="450"/>
    <n v="2745"/>
    <s v="ORTH-GEN"/>
    <s v="CC-ORTHO-02"/>
    <n v="2834.03"/>
    <n v="0.66666666666666663"/>
    <n v="1"/>
    <s v="65-79"/>
    <s v="Medium (3-7)"/>
    <d v="2025-02-01T00:00:00"/>
    <n v="2745"/>
    <s v="Normal"/>
  </r>
  <r>
    <s v="EX20078"/>
    <x v="0"/>
    <x v="0"/>
    <x v="1"/>
    <x v="68"/>
    <d v="2025-12-02T00:00:00"/>
    <n v="2.1"/>
    <n v="42"/>
    <x v="0"/>
    <s v="Asian/Asian British"/>
    <x v="0"/>
    <x v="8"/>
    <s v="Discharged Home"/>
    <s v="No"/>
    <n v="30"/>
    <n v="30"/>
    <n v="1"/>
    <n v="480"/>
    <n v="1008"/>
    <s v="GENM-GEN"/>
    <s v="CC-GENMED-03"/>
    <n v="3092.09"/>
    <n v="1"/>
    <n v="0"/>
    <s v="35-49"/>
    <s v="Short (&lt;3)"/>
    <d v="2025-11-01T00:00:00"/>
    <n v="1008"/>
    <s v="Normal"/>
  </r>
  <r>
    <s v="EX20079"/>
    <x v="6"/>
    <x v="6"/>
    <x v="2"/>
    <x v="56"/>
    <d v="2025-03-23T00:00:00"/>
    <n v="2.2000000000000002"/>
    <n v="78"/>
    <x v="1"/>
    <s v="White British"/>
    <x v="10"/>
    <x v="14"/>
    <s v="Self-Discharge"/>
    <s v="No"/>
    <n v="30"/>
    <n v="30"/>
    <n v="1"/>
    <n v="400"/>
    <n v="880"/>
    <s v="ONCO-GEN"/>
    <s v="CC-ONCOL-05"/>
    <n v="3624.42"/>
    <n v="1"/>
    <n v="0"/>
    <s v="65-79"/>
    <s v="Short (&lt;3)"/>
    <d v="2025-03-01T00:00:00"/>
    <n v="880.00000000000011"/>
    <s v="Normal"/>
  </r>
  <r>
    <s v="EX20080"/>
    <x v="7"/>
    <x v="7"/>
    <x v="1"/>
    <x v="2"/>
    <d v="2025-06-23T00:00:00"/>
    <n v="12.2"/>
    <n v="50"/>
    <x v="0"/>
    <s v="White British"/>
    <x v="11"/>
    <x v="23"/>
    <s v="Discharged Home"/>
    <s v="Yes"/>
    <n v="30"/>
    <n v="30"/>
    <n v="1"/>
    <n v="480"/>
    <n v="5856"/>
    <s v="GENM-GEN"/>
    <s v="CC-GENMED-03"/>
    <n v="879.02"/>
    <n v="1"/>
    <n v="1"/>
    <s v="50-64"/>
    <s v="Long (&gt;7)"/>
    <d v="2025-06-01T00:00:00"/>
    <n v="5856"/>
    <s v="Normal"/>
  </r>
  <r>
    <s v="EX20081"/>
    <x v="5"/>
    <x v="5"/>
    <x v="1"/>
    <x v="69"/>
    <d v="2025-09-09T00:00:00"/>
    <n v="1.3"/>
    <n v="47"/>
    <x v="1"/>
    <s v="Black/African/Caribbean"/>
    <x v="14"/>
    <x v="24"/>
    <s v="Transfer to Other Trust"/>
    <s v="No"/>
    <n v="18"/>
    <n v="30"/>
    <n v="0.6"/>
    <n v="510"/>
    <n v="663"/>
    <s v="GENM-GEN"/>
    <s v="CC-GENMED-03"/>
    <n v="2325.71"/>
    <n v="0.6"/>
    <n v="0"/>
    <s v="35-49"/>
    <s v="Short (&lt;3)"/>
    <d v="2025-09-01T00:00:00"/>
    <n v="663"/>
    <s v="Normal"/>
  </r>
  <r>
    <s v="EX20082"/>
    <x v="2"/>
    <x v="2"/>
    <x v="1"/>
    <x v="70"/>
    <d v="2025-05-30T00:00:00"/>
    <n v="5.0999999999999996"/>
    <n v="61"/>
    <x v="0"/>
    <s v="Not Stated"/>
    <x v="3"/>
    <x v="13"/>
    <s v="Discharged to Community Care"/>
    <s v="No"/>
    <n v="13"/>
    <n v="30"/>
    <n v="0.43330000000000002"/>
    <n v="480"/>
    <n v="2448"/>
    <s v="NEUR-GEN"/>
    <s v="CC-NEURO-07"/>
    <n v="2424.54"/>
    <n v="0.43333333333333335"/>
    <n v="0"/>
    <s v="50-64"/>
    <s v="Medium (3-7)"/>
    <d v="2025-05-01T00:00:00"/>
    <n v="2448"/>
    <s v="Normal"/>
  </r>
  <r>
    <s v="EX20083"/>
    <x v="3"/>
    <x v="3"/>
    <x v="2"/>
    <x v="71"/>
    <d v="2025-04-14T00:00:00"/>
    <n v="2.6"/>
    <n v="19"/>
    <x v="0"/>
    <s v="White British"/>
    <x v="5"/>
    <x v="4"/>
    <s v="Discharged Home"/>
    <s v="No"/>
    <n v="15"/>
    <n v="30"/>
    <n v="0.5"/>
    <n v="350"/>
    <n v="910"/>
    <s v="GENM-GEN"/>
    <s v="CC-GENMED-03"/>
    <n v="2221.08"/>
    <n v="0.5"/>
    <n v="0"/>
    <s v="18-34"/>
    <s v="Short (&lt;3)"/>
    <d v="2025-04-01T00:00:00"/>
    <n v="910"/>
    <s v="Normal"/>
  </r>
  <r>
    <s v="EX20084"/>
    <x v="1"/>
    <x v="1"/>
    <x v="2"/>
    <x v="72"/>
    <d v="2025-02-13T00:00:00"/>
    <n v="3.2"/>
    <n v="52"/>
    <x v="1"/>
    <s v="Not Stated"/>
    <x v="2"/>
    <x v="16"/>
    <s v="Transfer to Other Trust"/>
    <s v="No"/>
    <n v="13"/>
    <n v="30"/>
    <n v="0.43330000000000002"/>
    <n v="425"/>
    <n v="1360"/>
    <s v="EMRG-GEN"/>
    <s v="CC-EMERG-04"/>
    <n v="1126.6400000000001"/>
    <n v="0.43333333333333335"/>
    <n v="0"/>
    <s v="50-64"/>
    <s v="Medium (3-7)"/>
    <d v="2025-02-01T00:00:00"/>
    <n v="1360"/>
    <s v="Normal"/>
  </r>
  <r>
    <s v="EX20085"/>
    <x v="0"/>
    <x v="0"/>
    <x v="1"/>
    <x v="73"/>
    <d v="2025-09-01T00:00:00"/>
    <n v="3.4"/>
    <n v="27"/>
    <x v="1"/>
    <s v="White British"/>
    <x v="0"/>
    <x v="1"/>
    <s v="Discharged to Community Care"/>
    <s v="No"/>
    <n v="18"/>
    <n v="30"/>
    <n v="0.6"/>
    <n v="350"/>
    <n v="1190"/>
    <s v="PEDS-GEN"/>
    <s v="CC-PAEDS-06"/>
    <n v="1175.81"/>
    <n v="0.6"/>
    <n v="0"/>
    <s v="18-34"/>
    <s v="Medium (3-7)"/>
    <d v="2025-08-01T00:00:00"/>
    <n v="1190"/>
    <s v="Normal"/>
  </r>
  <r>
    <s v="EX20086"/>
    <x v="5"/>
    <x v="5"/>
    <x v="2"/>
    <x v="74"/>
    <d v="2025-09-22T00:00:00"/>
    <n v="1.6"/>
    <n v="48"/>
    <x v="0"/>
    <s v="White British"/>
    <x v="14"/>
    <x v="29"/>
    <s v="Self-Discharge"/>
    <s v="No"/>
    <n v="15"/>
    <n v="30"/>
    <n v="0.5"/>
    <n v="375"/>
    <n v="600"/>
    <s v="RESP-GEN"/>
    <s v="CC-RESPI-08"/>
    <n v="1915.14"/>
    <n v="0.5"/>
    <n v="0"/>
    <s v="35-49"/>
    <s v="Short (&lt;3)"/>
    <d v="2025-09-01T00:00:00"/>
    <n v="600"/>
    <s v="Normal"/>
  </r>
  <r>
    <s v="EX20087"/>
    <x v="6"/>
    <x v="6"/>
    <x v="1"/>
    <x v="75"/>
    <d v="2025-09-10T00:00:00"/>
    <n v="6.8"/>
    <n v="41"/>
    <x v="1"/>
    <s v="White British"/>
    <x v="10"/>
    <x v="11"/>
    <s v="Discharged Home"/>
    <s v="No"/>
    <n v="20"/>
    <n v="30"/>
    <n v="0.66669999999999996"/>
    <n v="450"/>
    <n v="3060"/>
    <s v="EMRG-GEN"/>
    <s v="CC-EMERG-04"/>
    <n v="843.97"/>
    <n v="0.66666666666666663"/>
    <n v="0"/>
    <s v="35-49"/>
    <s v="Medium (3-7)"/>
    <d v="2025-09-01T00:00:00"/>
    <n v="3060"/>
    <s v="Normal"/>
  </r>
  <r>
    <s v="EX20088"/>
    <x v="1"/>
    <x v="1"/>
    <x v="1"/>
    <x v="44"/>
    <d v="2025-04-26T00:00:00"/>
    <n v="9.6999999999999993"/>
    <n v="86"/>
    <x v="0"/>
    <s v="Other Ethnic Group"/>
    <x v="2"/>
    <x v="27"/>
    <s v="Discharged to Community Care"/>
    <s v="No"/>
    <n v="30"/>
    <n v="30"/>
    <n v="1"/>
    <n v="400"/>
    <n v="3880"/>
    <s v="ONCO-GEN"/>
    <s v="CC-ONCOL-05"/>
    <n v="8318.4500000000007"/>
    <n v="1"/>
    <n v="0"/>
    <s v="80+"/>
    <s v="Long (&gt;7)"/>
    <d v="2025-04-01T00:00:00"/>
    <n v="3879.9999999999995"/>
    <s v="Normal"/>
  </r>
  <r>
    <s v="EX20089"/>
    <x v="7"/>
    <x v="7"/>
    <x v="0"/>
    <x v="49"/>
    <d v="2025-03-16T00:00:00"/>
    <n v="8.1999999999999993"/>
    <n v="77"/>
    <x v="1"/>
    <s v="Not Stated"/>
    <x v="12"/>
    <x v="23"/>
    <s v="Discharged to Community Care"/>
    <s v="No"/>
    <n v="15"/>
    <n v="30"/>
    <n v="0.5"/>
    <n v="450"/>
    <n v="3690"/>
    <s v="ORTH-GEN"/>
    <s v="CC-ORTHO-02"/>
    <n v="8305.49"/>
    <n v="0.5"/>
    <n v="0"/>
    <s v="65-79"/>
    <s v="Long (&gt;7)"/>
    <d v="2025-03-01T00:00:00"/>
    <n v="3689.9999999999995"/>
    <s v="Normal"/>
  </r>
  <r>
    <s v="EX20090"/>
    <x v="3"/>
    <x v="3"/>
    <x v="2"/>
    <x v="76"/>
    <d v="2025-11-26T00:00:00"/>
    <n v="1.4"/>
    <n v="85"/>
    <x v="1"/>
    <s v="Mixed/Multiple"/>
    <x v="4"/>
    <x v="25"/>
    <s v="Discharged Home"/>
    <s v="No"/>
    <n v="24"/>
    <n v="30"/>
    <n v="0.8"/>
    <n v="400"/>
    <n v="560"/>
    <s v="PEDS-GEN"/>
    <s v="CC-PAEDS-06"/>
    <n v="913.32"/>
    <n v="0.8"/>
    <n v="0"/>
    <s v="80+"/>
    <s v="Short (&lt;3)"/>
    <d v="2025-11-01T00:00:00"/>
    <n v="560"/>
    <s v="Normal"/>
  </r>
  <r>
    <s v="EX20091"/>
    <x v="3"/>
    <x v="3"/>
    <x v="1"/>
    <x v="77"/>
    <d v="2025-11-04T00:00:00"/>
    <n v="1.3"/>
    <n v="83"/>
    <x v="1"/>
    <s v="Asian/Asian British"/>
    <x v="5"/>
    <x v="5"/>
    <s v="Self-Discharge"/>
    <s v="No"/>
    <n v="27"/>
    <n v="30"/>
    <n v="0.9"/>
    <n v="510"/>
    <n v="663"/>
    <s v="GENM-GEN"/>
    <s v="CC-GENMED-03"/>
    <n v="1527.94"/>
    <n v="0.9"/>
    <n v="0"/>
    <s v="80+"/>
    <s v="Short (&lt;3)"/>
    <d v="2025-11-01T00:00:00"/>
    <n v="663"/>
    <s v="Normal"/>
  </r>
  <r>
    <s v="EX20092"/>
    <x v="4"/>
    <x v="4"/>
    <x v="0"/>
    <x v="78"/>
    <d v="2025-03-30T00:00:00"/>
    <n v="2.4"/>
    <n v="44"/>
    <x v="1"/>
    <s v="Asian/Asian British"/>
    <x v="6"/>
    <x v="7"/>
    <s v="Self-Discharge"/>
    <s v="No"/>
    <n v="27"/>
    <n v="30"/>
    <n v="0.9"/>
    <n v="510"/>
    <n v="1224"/>
    <s v="ORTH-GEN"/>
    <s v="CC-ORTHO-02"/>
    <n v="7444.6"/>
    <n v="0.9"/>
    <n v="0"/>
    <s v="35-49"/>
    <s v="Short (&lt;3)"/>
    <d v="2025-03-01T00:00:00"/>
    <n v="1224"/>
    <s v="Normal"/>
  </r>
  <r>
    <s v="EX20093"/>
    <x v="3"/>
    <x v="3"/>
    <x v="0"/>
    <x v="79"/>
    <d v="2025-05-27T00:00:00"/>
    <n v="4.9000000000000004"/>
    <n v="40"/>
    <x v="1"/>
    <s v="Mixed/Multiple"/>
    <x v="4"/>
    <x v="4"/>
    <s v="Discharged to Community Care"/>
    <s v="No"/>
    <n v="20"/>
    <n v="30"/>
    <n v="0.66669999999999996"/>
    <n v="425"/>
    <n v="2082.5"/>
    <s v="ONCO-GEN"/>
    <s v="CC-ONCOL-05"/>
    <n v="3985.07"/>
    <n v="0.66666666666666663"/>
    <n v="0"/>
    <s v="35-49"/>
    <s v="Medium (3-7)"/>
    <d v="2025-05-01T00:00:00"/>
    <n v="2082.5"/>
    <s v="Normal"/>
  </r>
  <r>
    <s v="EX20094"/>
    <x v="6"/>
    <x v="6"/>
    <x v="1"/>
    <x v="80"/>
    <d v="2025-01-14T00:00:00"/>
    <n v="6.6"/>
    <n v="34"/>
    <x v="1"/>
    <s v="Mixed/Multiple"/>
    <x v="10"/>
    <x v="17"/>
    <s v="Transfer to Other Trust"/>
    <s v="No"/>
    <n v="28"/>
    <n v="30"/>
    <n v="0.93330000000000002"/>
    <n v="510"/>
    <n v="3366"/>
    <s v="CARD-GEN"/>
    <s v="CC-CARDIO-01"/>
    <n v="4103.0600000000004"/>
    <n v="0.93333333333333335"/>
    <n v="0"/>
    <s v="18-34"/>
    <s v="Medium (3-7)"/>
    <d v="2025-01-01T00:00:00"/>
    <n v="3366"/>
    <s v="Normal"/>
  </r>
  <r>
    <s v="EX20095"/>
    <x v="3"/>
    <x v="3"/>
    <x v="1"/>
    <x v="81"/>
    <d v="2025-04-11T00:00:00"/>
    <n v="1.9"/>
    <n v="83"/>
    <x v="0"/>
    <s v="Black/African/Caribbean"/>
    <x v="5"/>
    <x v="26"/>
    <s v="Discharged Home"/>
    <s v="Yes"/>
    <n v="28"/>
    <n v="30"/>
    <n v="0.93330000000000002"/>
    <n v="480"/>
    <n v="912"/>
    <s v="CARD-GEN"/>
    <s v="CC-CARDIO-01"/>
    <n v="2697.32"/>
    <n v="0.93333333333333335"/>
    <n v="1"/>
    <s v="80+"/>
    <s v="Short (&lt;3)"/>
    <d v="2025-04-01T00:00:00"/>
    <n v="912"/>
    <s v="Normal"/>
  </r>
  <r>
    <s v="EX20096"/>
    <x v="0"/>
    <x v="0"/>
    <x v="0"/>
    <x v="82"/>
    <d v="2025-01-08T00:00:00"/>
    <n v="6.3"/>
    <n v="65"/>
    <x v="1"/>
    <s v="Asian/Asian British"/>
    <x v="0"/>
    <x v="0"/>
    <s v="Self-Discharge"/>
    <s v="No"/>
    <n v="12"/>
    <n v="30"/>
    <n v="0.4"/>
    <n v="480"/>
    <n v="3024"/>
    <s v="PEDS-GEN"/>
    <s v="CC-PAEDS-06"/>
    <n v="2723.29"/>
    <n v="0.4"/>
    <n v="0"/>
    <s v="65-79"/>
    <s v="Medium (3-7)"/>
    <d v="2025-01-01T00:00:00"/>
    <n v="3024"/>
    <s v="Normal"/>
  </r>
  <r>
    <s v="EX20097"/>
    <x v="1"/>
    <x v="1"/>
    <x v="1"/>
    <x v="63"/>
    <d v="2025-05-13T00:00:00"/>
    <n v="8.6999999999999993"/>
    <n v="44"/>
    <x v="1"/>
    <s v="Mixed/Multiple"/>
    <x v="2"/>
    <x v="2"/>
    <s v="Discharged Home"/>
    <s v="No"/>
    <n v="24"/>
    <n v="30"/>
    <n v="0.8"/>
    <n v="375"/>
    <n v="3262.5"/>
    <s v="EMRG-GEN"/>
    <s v="CC-EMERG-04"/>
    <n v="313.52"/>
    <n v="0.8"/>
    <n v="0"/>
    <s v="35-49"/>
    <s v="Long (&gt;7)"/>
    <d v="2025-05-01T00:00:00"/>
    <n v="3262.4999999999995"/>
    <s v="Normal"/>
  </r>
  <r>
    <s v="EX20098"/>
    <x v="2"/>
    <x v="2"/>
    <x v="1"/>
    <x v="83"/>
    <d v="2025-02-02T00:00:00"/>
    <n v="3.1"/>
    <n v="28"/>
    <x v="0"/>
    <s v="White British"/>
    <x v="8"/>
    <x v="3"/>
    <s v="Discharged Home"/>
    <s v="No"/>
    <n v="25"/>
    <n v="30"/>
    <n v="0.83330000000000004"/>
    <n v="450"/>
    <n v="1395"/>
    <s v="NEUR-GEN"/>
    <s v="CC-NEURO-07"/>
    <n v="1607.6"/>
    <n v="0.83333333333333337"/>
    <n v="0"/>
    <s v="18-34"/>
    <s v="Medium (3-7)"/>
    <d v="2025-01-01T00:00:00"/>
    <n v="1395"/>
    <s v="Normal"/>
  </r>
  <r>
    <s v="EX20099"/>
    <x v="7"/>
    <x v="7"/>
    <x v="2"/>
    <x v="84"/>
    <d v="2025-02-23T00:00:00"/>
    <n v="11.8"/>
    <n v="80"/>
    <x v="1"/>
    <s v="White British"/>
    <x v="11"/>
    <x v="30"/>
    <s v="Transfer to Other Trust"/>
    <s v="No"/>
    <n v="28"/>
    <n v="30"/>
    <n v="0.93330000000000002"/>
    <n v="375"/>
    <n v="4425"/>
    <s v="NEUR-GEN"/>
    <s v="CC-NEURO-07"/>
    <n v="2906.48"/>
    <n v="0.93333333333333335"/>
    <n v="0"/>
    <s v="80+"/>
    <s v="Long (&gt;7)"/>
    <d v="2025-02-01T00:00:00"/>
    <n v="4425"/>
    <s v="Normal"/>
  </r>
  <r>
    <s v="EX20100"/>
    <x v="7"/>
    <x v="7"/>
    <x v="0"/>
    <x v="71"/>
    <d v="2025-04-23T00:00:00"/>
    <n v="11.5"/>
    <n v="60"/>
    <x v="0"/>
    <s v="Mixed/Multiple"/>
    <x v="12"/>
    <x v="23"/>
    <s v="Transfer to Other Trust"/>
    <s v="No"/>
    <n v="19"/>
    <n v="30"/>
    <n v="0.63329999999999997"/>
    <n v="375"/>
    <n v="4312.5"/>
    <s v="PEDS-GEN"/>
    <s v="CC-PAEDS-06"/>
    <n v="1935.71"/>
    <n v="0.6333333333333333"/>
    <n v="0"/>
    <s v="50-64"/>
    <s v="Long (&gt;7)"/>
    <d v="2025-04-01T00:00:00"/>
    <n v="4312.5"/>
    <s v="Normal"/>
  </r>
  <r>
    <s v="EX20101"/>
    <x v="3"/>
    <x v="3"/>
    <x v="0"/>
    <x v="85"/>
    <d v="2025-08-29T00:00:00"/>
    <n v="3.9"/>
    <n v="66"/>
    <x v="1"/>
    <s v="White British"/>
    <x v="5"/>
    <x v="5"/>
    <s v="Transfer to Other Trust"/>
    <s v="No"/>
    <n v="29"/>
    <n v="30"/>
    <n v="0.9667"/>
    <n v="450"/>
    <n v="1755"/>
    <s v="NEUR-GEN"/>
    <s v="CC-NEURO-07"/>
    <n v="3664.45"/>
    <n v="0.96666666666666667"/>
    <n v="0"/>
    <s v="65-79"/>
    <s v="Medium (3-7)"/>
    <d v="2025-08-01T00:00:00"/>
    <n v="1755"/>
    <s v="Normal"/>
  </r>
  <r>
    <s v="EX20102"/>
    <x v="6"/>
    <x v="6"/>
    <x v="0"/>
    <x v="86"/>
    <d v="2025-12-21T00:00:00"/>
    <n v="7.3"/>
    <n v="45"/>
    <x v="0"/>
    <s v="Black/African/Caribbean"/>
    <x v="15"/>
    <x v="11"/>
    <s v="Discharged Home"/>
    <s v="No"/>
    <n v="19"/>
    <n v="30"/>
    <n v="0.63329999999999997"/>
    <n v="375"/>
    <n v="2737.5"/>
    <s v="NEUR-GEN"/>
    <s v="CC-NEURO-07"/>
    <n v="3502.98"/>
    <n v="0.6333333333333333"/>
    <n v="0"/>
    <s v="35-49"/>
    <s v="Long (&gt;7)"/>
    <d v="2025-12-01T00:00:00"/>
    <n v="2737.5"/>
    <s v="Normal"/>
  </r>
  <r>
    <s v="EX20103"/>
    <x v="1"/>
    <x v="1"/>
    <x v="1"/>
    <x v="87"/>
    <d v="2025-10-08T00:00:00"/>
    <n v="8.1999999999999993"/>
    <n v="46"/>
    <x v="1"/>
    <s v="Black/African/Caribbean"/>
    <x v="2"/>
    <x v="2"/>
    <s v="Discharged to Community Care"/>
    <s v="No"/>
    <n v="30"/>
    <n v="30"/>
    <n v="1"/>
    <n v="510"/>
    <n v="4182"/>
    <s v="NEUR-GEN"/>
    <s v="CC-NEURO-07"/>
    <n v="1169.6099999999999"/>
    <n v="1"/>
    <n v="0"/>
    <s v="35-49"/>
    <s v="Long (&gt;7)"/>
    <d v="2025-09-01T00:00:00"/>
    <n v="4182"/>
    <s v="Normal"/>
  </r>
  <r>
    <s v="EX20104"/>
    <x v="2"/>
    <x v="2"/>
    <x v="2"/>
    <x v="71"/>
    <d v="2025-04-16T00:00:00"/>
    <n v="4.5"/>
    <n v="35"/>
    <x v="0"/>
    <s v="Asian/Asian British"/>
    <x v="8"/>
    <x v="3"/>
    <s v="Discharged Home"/>
    <s v="No"/>
    <n v="15"/>
    <n v="30"/>
    <n v="0.5"/>
    <n v="400"/>
    <n v="1800"/>
    <s v="PEDS-GEN"/>
    <s v="CC-PAEDS-06"/>
    <n v="2466.61"/>
    <n v="0.5"/>
    <n v="0"/>
    <s v="35-49"/>
    <s v="Medium (3-7)"/>
    <d v="2025-04-01T00:00:00"/>
    <n v="1800"/>
    <s v="Normal"/>
  </r>
  <r>
    <s v="EX20105"/>
    <x v="5"/>
    <x v="5"/>
    <x v="0"/>
    <x v="88"/>
    <d v="2025-06-02T00:00:00"/>
    <n v="1.4"/>
    <n v="68"/>
    <x v="1"/>
    <s v="White British"/>
    <x v="9"/>
    <x v="10"/>
    <s v="Discharged to Community Care"/>
    <s v="No"/>
    <n v="22"/>
    <n v="30"/>
    <n v="0.73329999999999995"/>
    <n v="480"/>
    <n v="672"/>
    <s v="ORTH-GEN"/>
    <s v="CC-ORTHO-02"/>
    <n v="5730.23"/>
    <n v="0.73333333333333328"/>
    <n v="0"/>
    <s v="65-79"/>
    <s v="Short (&lt;3)"/>
    <d v="2025-06-01T00:00:00"/>
    <n v="672"/>
    <s v="Normal"/>
  </r>
  <r>
    <s v="EX20106"/>
    <x v="7"/>
    <x v="7"/>
    <x v="0"/>
    <x v="89"/>
    <d v="2025-01-30T00:00:00"/>
    <n v="11.4"/>
    <n v="78"/>
    <x v="1"/>
    <s v="White British"/>
    <x v="12"/>
    <x v="19"/>
    <s v="Discharged Home"/>
    <s v="No"/>
    <n v="18"/>
    <n v="30"/>
    <n v="0.6"/>
    <n v="350"/>
    <n v="3990"/>
    <s v="GENM-GEN"/>
    <s v="CC-GENMED-03"/>
    <n v="2689.94"/>
    <n v="0.6"/>
    <n v="0"/>
    <s v="65-79"/>
    <s v="Long (&gt;7)"/>
    <d v="2025-01-01T00:00:00"/>
    <n v="3990"/>
    <s v="Normal"/>
  </r>
  <r>
    <s v="EX20107"/>
    <x v="7"/>
    <x v="7"/>
    <x v="0"/>
    <x v="90"/>
    <d v="2025-10-27T00:00:00"/>
    <n v="8.4"/>
    <n v="22"/>
    <x v="1"/>
    <s v="Mixed/Multiple"/>
    <x v="11"/>
    <x v="19"/>
    <s v="Discharged to Community Care"/>
    <s v="No"/>
    <n v="18"/>
    <n v="30"/>
    <n v="0.6"/>
    <n v="375"/>
    <n v="3150"/>
    <s v="CARD-GEN"/>
    <s v="CC-CARDIO-01"/>
    <n v="3398.84"/>
    <n v="0.6"/>
    <n v="0"/>
    <s v="18-34"/>
    <s v="Long (&gt;7)"/>
    <d v="2025-10-01T00:00:00"/>
    <n v="3150"/>
    <s v="Normal"/>
  </r>
  <r>
    <s v="EX20108"/>
    <x v="3"/>
    <x v="3"/>
    <x v="0"/>
    <x v="91"/>
    <d v="2025-06-20T00:00:00"/>
    <n v="1.7"/>
    <n v="75"/>
    <x v="1"/>
    <s v="White British"/>
    <x v="5"/>
    <x v="26"/>
    <s v="Discharged Home"/>
    <s v="No"/>
    <n v="19"/>
    <n v="30"/>
    <n v="0.63329999999999997"/>
    <n v="510"/>
    <n v="867"/>
    <s v="PEDS-GEN"/>
    <s v="CC-PAEDS-06"/>
    <n v="1727.37"/>
    <n v="0.6333333333333333"/>
    <n v="0"/>
    <s v="65-79"/>
    <s v="Short (&lt;3)"/>
    <d v="2025-06-01T00:00:00"/>
    <n v="867"/>
    <s v="Normal"/>
  </r>
  <r>
    <s v="EX20109"/>
    <x v="7"/>
    <x v="7"/>
    <x v="1"/>
    <x v="92"/>
    <d v="2025-11-27T00:00:00"/>
    <n v="3.6"/>
    <n v="62"/>
    <x v="0"/>
    <s v="Not Stated"/>
    <x v="11"/>
    <x v="19"/>
    <s v="Transfer to Other Trust"/>
    <s v="No"/>
    <n v="21"/>
    <n v="30"/>
    <n v="0.7"/>
    <n v="450"/>
    <n v="1620"/>
    <s v="NEUR-GEN"/>
    <s v="CC-NEURO-07"/>
    <n v="3121.26"/>
    <n v="0.7"/>
    <n v="0"/>
    <s v="50-64"/>
    <s v="Medium (3-7)"/>
    <d v="2025-11-01T00:00:00"/>
    <n v="1620"/>
    <s v="Normal"/>
  </r>
  <r>
    <s v="EX20110"/>
    <x v="1"/>
    <x v="1"/>
    <x v="0"/>
    <x v="93"/>
    <d v="2025-12-03T00:00:00"/>
    <n v="10.4"/>
    <n v="65"/>
    <x v="1"/>
    <s v="Other Ethnic Group"/>
    <x v="13"/>
    <x v="21"/>
    <s v="Discharged Home"/>
    <s v="No"/>
    <n v="16"/>
    <n v="30"/>
    <n v="0.5333"/>
    <n v="350"/>
    <n v="3640"/>
    <s v="RESP-GEN"/>
    <s v="CC-RESPI-08"/>
    <n v="2146.5"/>
    <n v="0.53333333333333333"/>
    <n v="0"/>
    <s v="65-79"/>
    <s v="Long (&gt;7)"/>
    <d v="2025-11-01T00:00:00"/>
    <n v="3640"/>
    <s v="Normal"/>
  </r>
  <r>
    <s v="EX20111"/>
    <x v="0"/>
    <x v="0"/>
    <x v="2"/>
    <x v="94"/>
    <d v="2025-06-30T00:00:00"/>
    <n v="5.6"/>
    <n v="66"/>
    <x v="1"/>
    <s v="Not Stated"/>
    <x v="1"/>
    <x v="0"/>
    <s v="Discharged Home"/>
    <s v="No"/>
    <n v="17"/>
    <n v="30"/>
    <n v="0.56669999999999998"/>
    <n v="450"/>
    <n v="2520"/>
    <s v="EMRG-GEN"/>
    <s v="CC-EMERG-04"/>
    <n v="932.12"/>
    <n v="0.56666666666666665"/>
    <n v="0"/>
    <s v="65-79"/>
    <s v="Medium (3-7)"/>
    <d v="2025-06-01T00:00:00"/>
    <n v="2520"/>
    <s v="Normal"/>
  </r>
  <r>
    <s v="EX20112"/>
    <x v="3"/>
    <x v="3"/>
    <x v="2"/>
    <x v="95"/>
    <d v="2025-01-24T00:00:00"/>
    <n v="4.3"/>
    <n v="59"/>
    <x v="1"/>
    <s v="Asian/Asian British"/>
    <x v="5"/>
    <x v="4"/>
    <s v="Discharged Home"/>
    <s v="No"/>
    <n v="13"/>
    <n v="30"/>
    <n v="0.43330000000000002"/>
    <n v="480"/>
    <n v="2064"/>
    <s v="ONCO-GEN"/>
    <s v="CC-ONCOL-05"/>
    <n v="3536.24"/>
    <n v="0.43333333333333335"/>
    <n v="0"/>
    <s v="50-64"/>
    <s v="Medium (3-7)"/>
    <d v="2025-01-01T00:00:00"/>
    <n v="2064"/>
    <s v="Normal"/>
  </r>
  <r>
    <s v="EX20113"/>
    <x v="7"/>
    <x v="7"/>
    <x v="2"/>
    <x v="87"/>
    <d v="2025-10-02T00:00:00"/>
    <n v="2.9"/>
    <n v="84"/>
    <x v="0"/>
    <s v="Asian/Asian British"/>
    <x v="11"/>
    <x v="19"/>
    <s v="Discharged Home"/>
    <s v="No"/>
    <n v="16"/>
    <n v="30"/>
    <n v="0.5333"/>
    <n v="375"/>
    <n v="1087.5"/>
    <s v="EMRG-GEN"/>
    <s v="CC-EMERG-04"/>
    <n v="589.67999999999995"/>
    <n v="0.53333333333333333"/>
    <n v="0"/>
    <s v="80+"/>
    <s v="Short (&lt;3)"/>
    <d v="2025-09-01T00:00:00"/>
    <n v="1087.5"/>
    <s v="Normal"/>
  </r>
  <r>
    <s v="EX20114"/>
    <x v="4"/>
    <x v="4"/>
    <x v="2"/>
    <x v="96"/>
    <d v="2025-06-20T00:00:00"/>
    <n v="4.9000000000000004"/>
    <n v="73"/>
    <x v="0"/>
    <s v="White British"/>
    <x v="7"/>
    <x v="20"/>
    <s v="Discharged Home"/>
    <s v="No"/>
    <n v="29"/>
    <n v="30"/>
    <n v="0.9667"/>
    <n v="480"/>
    <n v="2352"/>
    <s v="ONCO-GEN"/>
    <s v="CC-ONCOL-05"/>
    <n v="8247.4500000000007"/>
    <n v="0.96666666666666667"/>
    <n v="0"/>
    <s v="65-79"/>
    <s v="Medium (3-7)"/>
    <d v="2025-06-01T00:00:00"/>
    <n v="2352"/>
    <s v="Normal"/>
  </r>
  <r>
    <s v="EX20115"/>
    <x v="7"/>
    <x v="7"/>
    <x v="0"/>
    <x v="97"/>
    <d v="2025-11-22T00:00:00"/>
    <n v="3.3"/>
    <n v="23"/>
    <x v="0"/>
    <s v="White British"/>
    <x v="12"/>
    <x v="19"/>
    <s v="Discharged to Community Care"/>
    <s v="Yes"/>
    <n v="30"/>
    <n v="30"/>
    <n v="1"/>
    <n v="375"/>
    <n v="1237.5"/>
    <s v="ORTH-GEN"/>
    <s v="CC-ORTHO-02"/>
    <n v="3012.45"/>
    <n v="1"/>
    <n v="1"/>
    <s v="18-34"/>
    <s v="Medium (3-7)"/>
    <d v="2025-11-01T00:00:00"/>
    <n v="1237.5"/>
    <s v="Normal"/>
  </r>
  <r>
    <s v="EX20116"/>
    <x v="0"/>
    <x v="0"/>
    <x v="0"/>
    <x v="98"/>
    <d v="2025-04-04T00:00:00"/>
    <n v="3.4"/>
    <n v="57"/>
    <x v="0"/>
    <s v="Not Stated"/>
    <x v="1"/>
    <x v="0"/>
    <s v="Discharged to Community Care"/>
    <s v="No"/>
    <n v="22"/>
    <n v="30"/>
    <n v="0.73329999999999995"/>
    <n v="350"/>
    <n v="1190"/>
    <s v="PEDS-GEN"/>
    <s v="CC-PAEDS-06"/>
    <n v="2218.85"/>
    <n v="0.73333333333333328"/>
    <n v="0"/>
    <s v="50-64"/>
    <s v="Medium (3-7)"/>
    <d v="2025-04-01T00:00:00"/>
    <n v="1190"/>
    <s v="Normal"/>
  </r>
  <r>
    <s v="EX20117"/>
    <x v="0"/>
    <x v="0"/>
    <x v="1"/>
    <x v="99"/>
    <d v="2025-05-07T00:00:00"/>
    <n v="4.0999999999999996"/>
    <n v="34"/>
    <x v="0"/>
    <s v="White British"/>
    <x v="0"/>
    <x v="1"/>
    <s v="Discharged to Community Care"/>
    <s v="No"/>
    <n v="18"/>
    <n v="30"/>
    <n v="0.6"/>
    <n v="510"/>
    <n v="2091"/>
    <s v="EMRG-GEN"/>
    <s v="CC-EMERG-04"/>
    <n v="594.96"/>
    <n v="0.6"/>
    <n v="0"/>
    <s v="18-34"/>
    <s v="Medium (3-7)"/>
    <d v="2025-05-01T00:00:00"/>
    <n v="2091"/>
    <s v="Normal"/>
  </r>
  <r>
    <s v="EX20118"/>
    <x v="3"/>
    <x v="3"/>
    <x v="1"/>
    <x v="100"/>
    <d v="2026-01-03T00:00:00"/>
    <n v="3.6"/>
    <n v="24"/>
    <x v="0"/>
    <s v="Other Ethnic Group"/>
    <x v="5"/>
    <x v="25"/>
    <s v="Discharged Home"/>
    <s v="No"/>
    <n v="26"/>
    <n v="30"/>
    <n v="0.86670000000000003"/>
    <n v="425"/>
    <n v="1530"/>
    <s v="EMRG-GEN"/>
    <s v="CC-EMERG-04"/>
    <n v="799.27"/>
    <n v="0.8666666666666667"/>
    <n v="0"/>
    <s v="18-34"/>
    <s v="Medium (3-7)"/>
    <d v="2025-12-01T00:00:00"/>
    <n v="1530"/>
    <s v="Normal"/>
  </r>
  <r>
    <s v="EX20119"/>
    <x v="7"/>
    <x v="7"/>
    <x v="1"/>
    <x v="101"/>
    <d v="2025-04-16T00:00:00"/>
    <n v="7.9"/>
    <n v="49"/>
    <x v="1"/>
    <s v="Other Ethnic Group"/>
    <x v="11"/>
    <x v="30"/>
    <s v="Discharged Home"/>
    <s v="No"/>
    <n v="12"/>
    <n v="30"/>
    <n v="0.4"/>
    <n v="350"/>
    <n v="2765"/>
    <s v="NEUR-GEN"/>
    <s v="CC-NEURO-07"/>
    <n v="1635.99"/>
    <n v="0.4"/>
    <n v="0"/>
    <s v="35-49"/>
    <s v="Long (&gt;7)"/>
    <d v="2025-04-01T00:00:00"/>
    <n v="2765"/>
    <s v="Normal"/>
  </r>
  <r>
    <s v="EX20120"/>
    <x v="1"/>
    <x v="1"/>
    <x v="2"/>
    <x v="6"/>
    <d v="2025-11-16T00:00:00"/>
    <n v="8.4"/>
    <n v="68"/>
    <x v="1"/>
    <s v="White British"/>
    <x v="13"/>
    <x v="16"/>
    <s v="Discharged Home"/>
    <s v="Yes"/>
    <n v="30"/>
    <n v="30"/>
    <n v="1"/>
    <n v="425"/>
    <n v="3570"/>
    <s v="ONCO-GEN"/>
    <s v="CC-ONCOL-05"/>
    <n v="7525.46"/>
    <n v="1"/>
    <n v="1"/>
    <s v="65-79"/>
    <s v="Long (&gt;7)"/>
    <d v="2025-11-01T00:00:00"/>
    <n v="3570"/>
    <s v="Normal"/>
  </r>
  <r>
    <s v="EX20121"/>
    <x v="0"/>
    <x v="0"/>
    <x v="1"/>
    <x v="11"/>
    <d v="2025-05-16T00:00:00"/>
    <n v="4.8"/>
    <n v="67"/>
    <x v="0"/>
    <s v="Not Stated"/>
    <x v="0"/>
    <x v="1"/>
    <s v="Transfer to Other Trust"/>
    <s v="No"/>
    <n v="28"/>
    <n v="30"/>
    <n v="0.93330000000000002"/>
    <n v="510"/>
    <n v="2448"/>
    <s v="RESP-GEN"/>
    <s v="CC-RESPI-08"/>
    <n v="3441.18"/>
    <n v="0.93333333333333335"/>
    <n v="0"/>
    <s v="65-79"/>
    <s v="Medium (3-7)"/>
    <d v="2025-05-01T00:00:00"/>
    <n v="2448"/>
    <s v="Normal"/>
  </r>
  <r>
    <s v="EX20122"/>
    <x v="5"/>
    <x v="5"/>
    <x v="0"/>
    <x v="102"/>
    <d v="2025-12-25T00:00:00"/>
    <n v="1.8"/>
    <n v="45"/>
    <x v="0"/>
    <s v="Not Stated"/>
    <x v="14"/>
    <x v="29"/>
    <s v="Discharged to Community Care"/>
    <s v="No"/>
    <n v="21"/>
    <n v="30"/>
    <n v="0.7"/>
    <n v="400"/>
    <n v="720"/>
    <s v="ORTH-GEN"/>
    <s v="CC-ORTHO-02"/>
    <n v="3454.97"/>
    <n v="0.7"/>
    <n v="0"/>
    <s v="35-49"/>
    <s v="Short (&lt;3)"/>
    <d v="2025-12-01T00:00:00"/>
    <n v="720"/>
    <s v="Normal"/>
  </r>
  <r>
    <s v="EX20123"/>
    <x v="7"/>
    <x v="7"/>
    <x v="1"/>
    <x v="103"/>
    <d v="2025-04-18T00:00:00"/>
    <n v="4.9000000000000004"/>
    <n v="56"/>
    <x v="0"/>
    <s v="Asian/Asian British"/>
    <x v="12"/>
    <x v="23"/>
    <s v="Transfer to Other Trust"/>
    <s v="No"/>
    <n v="15"/>
    <n v="30"/>
    <n v="0.5"/>
    <n v="510"/>
    <n v="2499"/>
    <s v="RESP-GEN"/>
    <s v="CC-RESPI-08"/>
    <n v="1307.43"/>
    <n v="0.5"/>
    <n v="0"/>
    <s v="50-64"/>
    <s v="Medium (3-7)"/>
    <d v="2025-04-01T00:00:00"/>
    <n v="2499"/>
    <s v="Normal"/>
  </r>
  <r>
    <s v="EX20124"/>
    <x v="0"/>
    <x v="0"/>
    <x v="1"/>
    <x v="104"/>
    <d v="2025-07-22T00:00:00"/>
    <n v="2.7"/>
    <n v="76"/>
    <x v="1"/>
    <s v="White British"/>
    <x v="1"/>
    <x v="18"/>
    <s v="Discharged to Community Care"/>
    <s v="No"/>
    <n v="18"/>
    <n v="30"/>
    <n v="0.6"/>
    <n v="450"/>
    <n v="1215"/>
    <s v="NEUR-GEN"/>
    <s v="CC-NEURO-07"/>
    <n v="2023.38"/>
    <n v="0.6"/>
    <n v="0"/>
    <s v="65-79"/>
    <s v="Short (&lt;3)"/>
    <d v="2025-07-01T00:00:00"/>
    <n v="1215"/>
    <s v="Normal"/>
  </r>
  <r>
    <s v="EX20125"/>
    <x v="6"/>
    <x v="6"/>
    <x v="2"/>
    <x v="83"/>
    <d v="2025-02-02T00:00:00"/>
    <n v="3.9"/>
    <n v="57"/>
    <x v="1"/>
    <s v="Other Ethnic Group"/>
    <x v="15"/>
    <x v="14"/>
    <s v="Discharged to Community Care"/>
    <s v="No"/>
    <n v="24"/>
    <n v="30"/>
    <n v="0.8"/>
    <n v="510"/>
    <n v="1989"/>
    <s v="ONCO-GEN"/>
    <s v="CC-ONCOL-05"/>
    <n v="3060.02"/>
    <n v="0.8"/>
    <n v="0"/>
    <s v="50-64"/>
    <s v="Medium (3-7)"/>
    <d v="2025-01-01T00:00:00"/>
    <n v="1989"/>
    <s v="Normal"/>
  </r>
  <r>
    <s v="EX20126"/>
    <x v="1"/>
    <x v="1"/>
    <x v="2"/>
    <x v="105"/>
    <d v="2025-03-09T00:00:00"/>
    <n v="6.7"/>
    <n v="44"/>
    <x v="1"/>
    <s v="Other Ethnic Group"/>
    <x v="13"/>
    <x v="16"/>
    <s v="Discharged to Community Care"/>
    <s v="No"/>
    <n v="28"/>
    <n v="30"/>
    <n v="0.93330000000000002"/>
    <n v="450"/>
    <n v="3015"/>
    <s v="ORTH-GEN"/>
    <s v="CC-ORTHO-02"/>
    <n v="6739.05"/>
    <n v="0.93333333333333335"/>
    <n v="0"/>
    <s v="35-49"/>
    <s v="Medium (3-7)"/>
    <d v="2025-03-01T00:00:00"/>
    <n v="3015"/>
    <s v="Normal"/>
  </r>
  <r>
    <s v="EX20127"/>
    <x v="5"/>
    <x v="5"/>
    <x v="1"/>
    <x v="106"/>
    <d v="2025-03-19T00:00:00"/>
    <n v="1.1000000000000001"/>
    <n v="21"/>
    <x v="1"/>
    <s v="Asian/Asian British"/>
    <x v="14"/>
    <x v="10"/>
    <s v="Discharged Home"/>
    <s v="No"/>
    <n v="28"/>
    <n v="30"/>
    <n v="0.93330000000000002"/>
    <n v="375"/>
    <n v="412.5"/>
    <s v="ONCO-GEN"/>
    <s v="CC-ONCOL-05"/>
    <n v="5786.7"/>
    <n v="0.93333333333333335"/>
    <n v="0"/>
    <s v="18-34"/>
    <s v="Short (&lt;3)"/>
    <d v="2025-03-01T00:00:00"/>
    <n v="412.50000000000006"/>
    <s v="Normal"/>
  </r>
  <r>
    <s v="EX20128"/>
    <x v="4"/>
    <x v="4"/>
    <x v="1"/>
    <x v="107"/>
    <d v="2025-07-31T00:00:00"/>
    <n v="4.7"/>
    <n v="42"/>
    <x v="1"/>
    <s v="Asian/Asian British"/>
    <x v="7"/>
    <x v="6"/>
    <s v="Discharged to Community Care"/>
    <s v="No"/>
    <n v="30"/>
    <n v="30"/>
    <n v="1"/>
    <n v="350"/>
    <n v="1645"/>
    <s v="PEDS-GEN"/>
    <s v="CC-PAEDS-06"/>
    <n v="1301.92"/>
    <n v="1"/>
    <n v="0"/>
    <s v="35-49"/>
    <s v="Medium (3-7)"/>
    <d v="2025-07-01T00:00:00"/>
    <n v="1645"/>
    <s v="Normal"/>
  </r>
  <r>
    <s v="EX20129"/>
    <x v="0"/>
    <x v="0"/>
    <x v="2"/>
    <x v="43"/>
    <d v="2025-06-27T00:00:00"/>
    <n v="6.3"/>
    <n v="31"/>
    <x v="1"/>
    <s v="White British"/>
    <x v="1"/>
    <x v="18"/>
    <s v="Transfer to Other Trust"/>
    <s v="No"/>
    <n v="14"/>
    <n v="30"/>
    <n v="0.4667"/>
    <n v="400"/>
    <n v="2520"/>
    <s v="RESP-GEN"/>
    <s v="CC-RESPI-08"/>
    <n v="2151.16"/>
    <n v="0.46666666666666667"/>
    <n v="0"/>
    <s v="18-34"/>
    <s v="Medium (3-7)"/>
    <d v="2025-06-01T00:00:00"/>
    <n v="2520"/>
    <s v="Normal"/>
  </r>
  <r>
    <s v="EX20130"/>
    <x v="0"/>
    <x v="0"/>
    <x v="1"/>
    <x v="75"/>
    <d v="2025-09-09T00:00:00"/>
    <n v="5.3"/>
    <n v="73"/>
    <x v="1"/>
    <s v="Mixed/Multiple"/>
    <x v="0"/>
    <x v="1"/>
    <s v="Discharged Home"/>
    <s v="No"/>
    <n v="15"/>
    <n v="30"/>
    <n v="0.5"/>
    <n v="510"/>
    <n v="2703"/>
    <s v="GENM-GEN"/>
    <s v="CC-GENMED-03"/>
    <n v="3179.45"/>
    <n v="0.5"/>
    <n v="0"/>
    <s v="65-79"/>
    <s v="Medium (3-7)"/>
    <d v="2025-09-01T00:00:00"/>
    <n v="2703"/>
    <s v="Normal"/>
  </r>
  <r>
    <s v="EX20131"/>
    <x v="3"/>
    <x v="3"/>
    <x v="0"/>
    <x v="108"/>
    <d v="2025-06-02T00:00:00"/>
    <n v="2"/>
    <n v="86"/>
    <x v="0"/>
    <s v="White British"/>
    <x v="5"/>
    <x v="25"/>
    <s v="Discharged Home"/>
    <s v="No"/>
    <n v="14"/>
    <n v="30"/>
    <n v="0.4667"/>
    <n v="350"/>
    <n v="700"/>
    <s v="ONCO-GEN"/>
    <s v="CC-ONCOL-05"/>
    <n v="6963.09"/>
    <n v="0.46666666666666667"/>
    <n v="0"/>
    <s v="80+"/>
    <s v="Short (&lt;3)"/>
    <d v="2025-05-01T00:00:00"/>
    <n v="700"/>
    <s v="Normal"/>
  </r>
  <r>
    <s v="EX20132"/>
    <x v="6"/>
    <x v="6"/>
    <x v="2"/>
    <x v="109"/>
    <d v="2025-08-10T00:00:00"/>
    <n v="4.3"/>
    <n v="59"/>
    <x v="0"/>
    <s v="White British"/>
    <x v="10"/>
    <x v="11"/>
    <s v="Discharged Home"/>
    <s v="No"/>
    <n v="26"/>
    <n v="30"/>
    <n v="0.86670000000000003"/>
    <n v="425"/>
    <n v="1827.5"/>
    <s v="NEUR-GEN"/>
    <s v="CC-NEURO-07"/>
    <n v="2843.95"/>
    <n v="0.8666666666666667"/>
    <n v="0"/>
    <s v="50-64"/>
    <s v="Medium (3-7)"/>
    <d v="2025-08-01T00:00:00"/>
    <n v="1827.5"/>
    <s v="Normal"/>
  </r>
  <r>
    <s v="EX20133"/>
    <x v="5"/>
    <x v="5"/>
    <x v="1"/>
    <x v="30"/>
    <d v="2025-12-10T00:00:00"/>
    <n v="0.6"/>
    <n v="51"/>
    <x v="0"/>
    <s v="White British"/>
    <x v="9"/>
    <x v="29"/>
    <s v="Discharged Home"/>
    <s v="No"/>
    <n v="24"/>
    <n v="30"/>
    <n v="0.8"/>
    <n v="350"/>
    <n v="210"/>
    <s v="ONCO-GEN"/>
    <s v="CC-ONCOL-05"/>
    <n v="8772.2800000000007"/>
    <n v="0.8"/>
    <n v="0"/>
    <s v="50-64"/>
    <s v="Short (&lt;3)"/>
    <d v="2025-12-01T00:00:00"/>
    <n v="210"/>
    <s v="Normal"/>
  </r>
  <r>
    <s v="EX20134"/>
    <x v="1"/>
    <x v="1"/>
    <x v="1"/>
    <x v="110"/>
    <d v="2025-04-30T00:00:00"/>
    <n v="8.5"/>
    <n v="63"/>
    <x v="1"/>
    <s v="Not Stated"/>
    <x v="13"/>
    <x v="21"/>
    <s v="Self-Discharge"/>
    <s v="No"/>
    <n v="13"/>
    <n v="30"/>
    <n v="0.43330000000000002"/>
    <n v="350"/>
    <n v="2975"/>
    <s v="NEUR-GEN"/>
    <s v="CC-NEURO-07"/>
    <n v="1363.91"/>
    <n v="0.43333333333333335"/>
    <n v="0"/>
    <s v="50-64"/>
    <s v="Long (&gt;7)"/>
    <d v="2025-04-01T00:00:00"/>
    <n v="2975"/>
    <s v="Normal"/>
  </r>
  <r>
    <s v="EX20135"/>
    <x v="4"/>
    <x v="4"/>
    <x v="1"/>
    <x v="3"/>
    <d v="2025-07-06T00:00:00"/>
    <n v="3.5"/>
    <n v="18"/>
    <x v="0"/>
    <s v="Black/African/Caribbean"/>
    <x v="6"/>
    <x v="9"/>
    <s v="Discharged Home"/>
    <s v="No"/>
    <n v="13"/>
    <n v="30"/>
    <n v="0.43330000000000002"/>
    <n v="350"/>
    <n v="1225"/>
    <s v="GENM-GEN"/>
    <s v="CC-GENMED-03"/>
    <n v="1846.33"/>
    <n v="0.43333333333333335"/>
    <n v="0"/>
    <s v="18-34"/>
    <s v="Medium (3-7)"/>
    <d v="2025-07-01T00:00:00"/>
    <n v="1225"/>
    <s v="Normal"/>
  </r>
  <r>
    <s v="EX20136"/>
    <x v="0"/>
    <x v="0"/>
    <x v="1"/>
    <x v="78"/>
    <d v="2025-04-04T00:00:00"/>
    <n v="7.2"/>
    <n v="76"/>
    <x v="0"/>
    <s v="White British"/>
    <x v="0"/>
    <x v="1"/>
    <s v="Discharged Home"/>
    <s v="No"/>
    <n v="21"/>
    <n v="30"/>
    <n v="0.7"/>
    <n v="375"/>
    <n v="2700"/>
    <s v="ONCO-GEN"/>
    <s v="CC-ONCOL-05"/>
    <n v="3321.55"/>
    <n v="0.7"/>
    <n v="0"/>
    <s v="65-79"/>
    <s v="Long (&gt;7)"/>
    <d v="2025-03-01T00:00:00"/>
    <n v="2700"/>
    <s v="Normal"/>
  </r>
  <r>
    <s v="EX20137"/>
    <x v="5"/>
    <x v="5"/>
    <x v="0"/>
    <x v="83"/>
    <d v="2025-01-30T00:00:00"/>
    <n v="0.6"/>
    <n v="32"/>
    <x v="1"/>
    <s v="Other Ethnic Group"/>
    <x v="9"/>
    <x v="10"/>
    <s v="Discharged Home"/>
    <s v="No"/>
    <n v="21"/>
    <n v="30"/>
    <n v="0.7"/>
    <n v="400"/>
    <n v="240"/>
    <s v="NEUR-GEN"/>
    <s v="CC-NEURO-07"/>
    <n v="1338.94"/>
    <n v="0.7"/>
    <n v="0"/>
    <s v="18-34"/>
    <s v="Short (&lt;3)"/>
    <d v="2025-01-01T00:00:00"/>
    <n v="240"/>
    <s v="Normal"/>
  </r>
  <r>
    <s v="EX20138"/>
    <x v="7"/>
    <x v="7"/>
    <x v="1"/>
    <x v="1"/>
    <d v="2025-07-13T00:00:00"/>
    <n v="2.8"/>
    <n v="66"/>
    <x v="1"/>
    <s v="White British"/>
    <x v="11"/>
    <x v="12"/>
    <s v="Transfer to Other Trust"/>
    <s v="No"/>
    <n v="28"/>
    <n v="30"/>
    <n v="0.93330000000000002"/>
    <n v="480"/>
    <n v="1344"/>
    <s v="RESP-GEN"/>
    <s v="CC-RESPI-08"/>
    <n v="3382.13"/>
    <n v="0.93333333333333335"/>
    <n v="0"/>
    <s v="65-79"/>
    <s v="Short (&lt;3)"/>
    <d v="2025-07-01T00:00:00"/>
    <n v="1344"/>
    <s v="Normal"/>
  </r>
  <r>
    <s v="EX20139"/>
    <x v="6"/>
    <x v="6"/>
    <x v="1"/>
    <x v="111"/>
    <d v="2025-10-16T00:00:00"/>
    <n v="2.9"/>
    <n v="59"/>
    <x v="0"/>
    <s v="Black/African/Caribbean"/>
    <x v="10"/>
    <x v="11"/>
    <s v="Transfer to Other Trust"/>
    <s v="No"/>
    <n v="18"/>
    <n v="30"/>
    <n v="0.6"/>
    <n v="425"/>
    <n v="1232.5"/>
    <s v="EMRG-GEN"/>
    <s v="CC-EMERG-04"/>
    <n v="934.74"/>
    <n v="0.6"/>
    <n v="0"/>
    <s v="50-64"/>
    <s v="Short (&lt;3)"/>
    <d v="2025-10-01T00:00:00"/>
    <n v="1232.5"/>
    <s v="Normal"/>
  </r>
  <r>
    <s v="EX20140"/>
    <x v="1"/>
    <x v="1"/>
    <x v="1"/>
    <x v="108"/>
    <d v="2025-06-06T00:00:00"/>
    <n v="6.5"/>
    <n v="30"/>
    <x v="1"/>
    <s v="Asian/Asian British"/>
    <x v="2"/>
    <x v="2"/>
    <s v="Discharged Home"/>
    <s v="No"/>
    <n v="19"/>
    <n v="30"/>
    <n v="0.63329999999999997"/>
    <n v="400"/>
    <n v="2600"/>
    <s v="NEUR-GEN"/>
    <s v="CC-NEURO-07"/>
    <n v="1116.93"/>
    <n v="0.6333333333333333"/>
    <n v="0"/>
    <s v="18-34"/>
    <s v="Medium (3-7)"/>
    <d v="2025-05-01T00:00:00"/>
    <n v="2600"/>
    <s v="Normal"/>
  </r>
  <r>
    <s v="EX20141"/>
    <x v="5"/>
    <x v="5"/>
    <x v="0"/>
    <x v="112"/>
    <d v="2025-11-07T00:00:00"/>
    <n v="1.7"/>
    <n v="71"/>
    <x v="0"/>
    <s v="Mixed/Multiple"/>
    <x v="14"/>
    <x v="15"/>
    <s v="Self-Discharge"/>
    <s v="No"/>
    <n v="13"/>
    <n v="30"/>
    <n v="0.43330000000000002"/>
    <n v="510"/>
    <n v="867"/>
    <s v="PEDS-GEN"/>
    <s v="CC-PAEDS-06"/>
    <n v="1737.55"/>
    <n v="0.43333333333333335"/>
    <n v="0"/>
    <s v="65-79"/>
    <s v="Short (&lt;3)"/>
    <d v="2025-11-01T00:00:00"/>
    <n v="867"/>
    <s v="Normal"/>
  </r>
  <r>
    <s v="EX20142"/>
    <x v="1"/>
    <x v="1"/>
    <x v="1"/>
    <x v="113"/>
    <d v="2025-01-25T00:00:00"/>
    <n v="7.1"/>
    <n v="44"/>
    <x v="1"/>
    <s v="Black/African/Caribbean"/>
    <x v="13"/>
    <x v="27"/>
    <s v="Discharged Home"/>
    <s v="Yes"/>
    <n v="17"/>
    <n v="30"/>
    <n v="0.56669999999999998"/>
    <n v="350"/>
    <n v="2485"/>
    <s v="EMRG-GEN"/>
    <s v="CC-EMERG-04"/>
    <n v="537.91"/>
    <n v="0.56666666666666665"/>
    <n v="1"/>
    <s v="35-49"/>
    <s v="Long (&gt;7)"/>
    <d v="2025-01-01T00:00:00"/>
    <n v="2485"/>
    <s v="Normal"/>
  </r>
  <r>
    <s v="EX20143"/>
    <x v="0"/>
    <x v="0"/>
    <x v="2"/>
    <x v="114"/>
    <d v="2026-01-07T00:00:00"/>
    <n v="8.5"/>
    <n v="49"/>
    <x v="0"/>
    <s v="Asian/Asian British"/>
    <x v="0"/>
    <x v="8"/>
    <s v="Self-Discharge"/>
    <s v="No"/>
    <n v="16"/>
    <n v="30"/>
    <n v="0.5333"/>
    <n v="375"/>
    <n v="3187.5"/>
    <s v="PEDS-GEN"/>
    <s v="CC-PAEDS-06"/>
    <n v="2611.8000000000002"/>
    <n v="0.53333333333333333"/>
    <n v="0"/>
    <s v="35-49"/>
    <s v="Long (&gt;7)"/>
    <d v="2025-12-01T00:00:00"/>
    <n v="3187.5"/>
    <s v="Normal"/>
  </r>
  <r>
    <s v="EX20144"/>
    <x v="6"/>
    <x v="6"/>
    <x v="1"/>
    <x v="69"/>
    <d v="2025-09-14T00:00:00"/>
    <n v="6"/>
    <n v="50"/>
    <x v="0"/>
    <s v="Mixed/Multiple"/>
    <x v="10"/>
    <x v="14"/>
    <s v="Self-Discharge"/>
    <s v="No"/>
    <n v="12"/>
    <n v="30"/>
    <n v="0.4"/>
    <n v="510"/>
    <n v="3060"/>
    <s v="CARD-GEN"/>
    <s v="CC-CARDIO-01"/>
    <n v="1257.3900000000001"/>
    <n v="0.4"/>
    <n v="0"/>
    <s v="50-64"/>
    <s v="Medium (3-7)"/>
    <d v="2025-09-01T00:00:00"/>
    <n v="3060"/>
    <s v="Normal"/>
  </r>
  <r>
    <s v="EX20145"/>
    <x v="5"/>
    <x v="5"/>
    <x v="0"/>
    <x v="115"/>
    <d v="2025-05-09T00:00:00"/>
    <n v="2"/>
    <n v="43"/>
    <x v="0"/>
    <s v="White British"/>
    <x v="9"/>
    <x v="15"/>
    <s v="Self-Discharge"/>
    <s v="Yes"/>
    <n v="29"/>
    <n v="30"/>
    <n v="0.9667"/>
    <n v="480"/>
    <n v="960"/>
    <s v="PEDS-GEN"/>
    <s v="CC-PAEDS-06"/>
    <n v="1879.79"/>
    <n v="0.96666666666666667"/>
    <n v="1"/>
    <s v="35-49"/>
    <s v="Short (&lt;3)"/>
    <d v="2025-05-01T00:00:00"/>
    <n v="960"/>
    <s v="Normal"/>
  </r>
  <r>
    <s v="EX20146"/>
    <x v="2"/>
    <x v="2"/>
    <x v="2"/>
    <x v="21"/>
    <d v="2025-07-15T00:00:00"/>
    <n v="3.2"/>
    <n v="76"/>
    <x v="0"/>
    <s v="White British"/>
    <x v="3"/>
    <x v="22"/>
    <s v="Discharged Home"/>
    <s v="No"/>
    <n v="26"/>
    <n v="30"/>
    <n v="0.86670000000000003"/>
    <n v="350"/>
    <n v="1120"/>
    <s v="ONCO-GEN"/>
    <s v="CC-ONCOL-05"/>
    <n v="8441.76"/>
    <n v="0.8666666666666667"/>
    <n v="0"/>
    <s v="65-79"/>
    <s v="Medium (3-7)"/>
    <d v="2025-07-01T00:00:00"/>
    <n v="1120"/>
    <s v="Normal"/>
  </r>
  <r>
    <s v="EX20147"/>
    <x v="2"/>
    <x v="2"/>
    <x v="1"/>
    <x v="116"/>
    <d v="2025-05-05T00:00:00"/>
    <n v="6.4"/>
    <n v="49"/>
    <x v="0"/>
    <s v="Black/African/Caribbean"/>
    <x v="8"/>
    <x v="13"/>
    <s v="Discharged Home"/>
    <s v="No"/>
    <n v="29"/>
    <n v="30"/>
    <n v="0.9667"/>
    <n v="510"/>
    <n v="3264"/>
    <s v="EMRG-GEN"/>
    <s v="CC-EMERG-04"/>
    <n v="467.57"/>
    <n v="0.96666666666666667"/>
    <n v="0"/>
    <s v="35-49"/>
    <s v="Medium (3-7)"/>
    <d v="2025-04-01T00:00:00"/>
    <n v="3264"/>
    <s v="Normal"/>
  </r>
  <r>
    <s v="EX20148"/>
    <x v="1"/>
    <x v="1"/>
    <x v="1"/>
    <x v="117"/>
    <d v="2025-02-10T00:00:00"/>
    <n v="3.5"/>
    <n v="36"/>
    <x v="1"/>
    <s v="Other Ethnic Group"/>
    <x v="2"/>
    <x v="21"/>
    <s v="Discharged Home"/>
    <s v="No"/>
    <n v="14"/>
    <n v="30"/>
    <n v="0.4667"/>
    <n v="400"/>
    <n v="1400"/>
    <s v="GENM-GEN"/>
    <s v="CC-GENMED-03"/>
    <n v="2369.4299999999998"/>
    <n v="0.46666666666666667"/>
    <n v="0"/>
    <s v="35-49"/>
    <s v="Medium (3-7)"/>
    <d v="2025-02-01T00:00:00"/>
    <n v="1400"/>
    <s v="Normal"/>
  </r>
  <r>
    <s v="EX20149"/>
    <x v="3"/>
    <x v="3"/>
    <x v="1"/>
    <x v="99"/>
    <d v="2025-05-04T00:00:00"/>
    <n v="1.1000000000000001"/>
    <n v="70"/>
    <x v="1"/>
    <s v="Black/African/Caribbean"/>
    <x v="4"/>
    <x v="5"/>
    <s v="Discharged Home"/>
    <s v="No"/>
    <n v="21"/>
    <n v="30"/>
    <n v="0.7"/>
    <n v="480"/>
    <n v="528"/>
    <s v="ONCO-GEN"/>
    <s v="CC-ONCOL-05"/>
    <n v="2594.6799999999998"/>
    <n v="0.7"/>
    <n v="0"/>
    <s v="65-79"/>
    <s v="Short (&lt;3)"/>
    <d v="2025-05-01T00:00:00"/>
    <n v="528"/>
    <s v="Normal"/>
  </r>
  <r>
    <s v="EX20150"/>
    <x v="1"/>
    <x v="1"/>
    <x v="2"/>
    <x v="118"/>
    <d v="2025-02-24T00:00:00"/>
    <n v="4.7"/>
    <n v="75"/>
    <x v="1"/>
    <s v="White British"/>
    <x v="2"/>
    <x v="27"/>
    <s v="Discharged Home"/>
    <s v="No"/>
    <n v="23"/>
    <n v="30"/>
    <n v="0.76670000000000005"/>
    <n v="400"/>
    <n v="1880"/>
    <s v="NEUR-GEN"/>
    <s v="CC-NEURO-07"/>
    <n v="1995.92"/>
    <n v="0.76666666666666672"/>
    <n v="0"/>
    <s v="65-79"/>
    <s v="Medium (3-7)"/>
    <d v="2025-02-01T00:00:00"/>
    <n v="1880"/>
    <s v="Normal"/>
  </r>
  <r>
    <s v="EX20151"/>
    <x v="6"/>
    <x v="6"/>
    <x v="0"/>
    <x v="119"/>
    <d v="2025-08-27T00:00:00"/>
    <n v="3.3"/>
    <n v="19"/>
    <x v="1"/>
    <s v="Not Stated"/>
    <x v="15"/>
    <x v="14"/>
    <s v="Discharged to Community Care"/>
    <s v="No"/>
    <n v="24"/>
    <n v="30"/>
    <n v="0.8"/>
    <n v="425"/>
    <n v="1402.5"/>
    <s v="EMRG-GEN"/>
    <s v="CC-EMERG-04"/>
    <n v="921"/>
    <n v="0.8"/>
    <n v="0"/>
    <s v="18-34"/>
    <s v="Medium (3-7)"/>
    <d v="2025-08-01T00:00:00"/>
    <n v="1402.5"/>
    <s v="Normal"/>
  </r>
  <r>
    <s v="EX20152"/>
    <x v="3"/>
    <x v="3"/>
    <x v="1"/>
    <x v="120"/>
    <d v="2025-08-04T00:00:00"/>
    <n v="4.8"/>
    <n v="73"/>
    <x v="0"/>
    <s v="Not Stated"/>
    <x v="5"/>
    <x v="25"/>
    <s v="Discharged Home"/>
    <s v="Yes"/>
    <n v="17"/>
    <n v="30"/>
    <n v="0.56669999999999998"/>
    <n v="425"/>
    <n v="2040"/>
    <s v="NEUR-GEN"/>
    <s v="CC-NEURO-07"/>
    <n v="2118.0100000000002"/>
    <n v="0.56666666666666665"/>
    <n v="1"/>
    <s v="65-79"/>
    <s v="Medium (3-7)"/>
    <d v="2025-07-01T00:00:00"/>
    <n v="2040"/>
    <s v="Normal"/>
  </r>
  <r>
    <s v="EX20153"/>
    <x v="6"/>
    <x v="6"/>
    <x v="1"/>
    <x v="113"/>
    <d v="2025-01-25T00:00:00"/>
    <n v="7.5"/>
    <n v="59"/>
    <x v="1"/>
    <s v="Black/African/Caribbean"/>
    <x v="10"/>
    <x v="14"/>
    <s v="Discharged Home"/>
    <s v="No"/>
    <n v="20"/>
    <n v="30"/>
    <n v="0.66669999999999996"/>
    <n v="400"/>
    <n v="3000"/>
    <s v="PEDS-GEN"/>
    <s v="CC-PAEDS-06"/>
    <n v="2711.01"/>
    <n v="0.66666666666666663"/>
    <n v="0"/>
    <s v="50-64"/>
    <s v="Long (&gt;7)"/>
    <d v="2025-01-01T00:00:00"/>
    <n v="3000"/>
    <s v="Normal"/>
  </r>
  <r>
    <s v="EX20154"/>
    <x v="1"/>
    <x v="1"/>
    <x v="2"/>
    <x v="48"/>
    <d v="2025-05-25T00:00:00"/>
    <n v="10.199999999999999"/>
    <n v="52"/>
    <x v="1"/>
    <s v="Black/African/Caribbean"/>
    <x v="13"/>
    <x v="27"/>
    <s v="Discharged to Community Care"/>
    <s v="No"/>
    <n v="21"/>
    <n v="30"/>
    <n v="0.7"/>
    <n v="450"/>
    <n v="4590"/>
    <s v="NEUR-GEN"/>
    <s v="CC-NEURO-07"/>
    <n v="1501.95"/>
    <n v="0.7"/>
    <n v="0"/>
    <s v="50-64"/>
    <s v="Long (&gt;7)"/>
    <d v="2025-05-01T00:00:00"/>
    <n v="4590"/>
    <s v="Normal"/>
  </r>
  <r>
    <s v="EX20155"/>
    <x v="5"/>
    <x v="5"/>
    <x v="0"/>
    <x v="121"/>
    <d v="2025-10-05T00:00:00"/>
    <n v="0.5"/>
    <n v="24"/>
    <x v="1"/>
    <s v="Black/African/Caribbean"/>
    <x v="9"/>
    <x v="10"/>
    <s v="Discharged Home"/>
    <s v="No"/>
    <n v="27"/>
    <n v="30"/>
    <n v="0.9"/>
    <n v="350"/>
    <n v="175"/>
    <s v="CARD-GEN"/>
    <s v="CC-CARDIO-01"/>
    <n v="1489.73"/>
    <n v="0.9"/>
    <n v="0"/>
    <s v="18-34"/>
    <s v="Short (&lt;3)"/>
    <d v="2025-10-01T00:00:00"/>
    <n v="175"/>
    <s v="Normal"/>
  </r>
  <r>
    <s v="EX20156"/>
    <x v="6"/>
    <x v="6"/>
    <x v="1"/>
    <x v="122"/>
    <d v="2025-11-04T00:00:00"/>
    <n v="6.1"/>
    <n v="29"/>
    <x v="0"/>
    <s v="White British"/>
    <x v="15"/>
    <x v="14"/>
    <s v="Discharged to Community Care"/>
    <s v="No"/>
    <n v="18"/>
    <n v="30"/>
    <n v="0.6"/>
    <n v="375"/>
    <n v="2287.5"/>
    <s v="ORTH-GEN"/>
    <s v="CC-ORTHO-02"/>
    <n v="6425.54"/>
    <n v="0.6"/>
    <n v="0"/>
    <s v="18-34"/>
    <s v="Medium (3-7)"/>
    <d v="2025-10-01T00:00:00"/>
    <n v="2287.5"/>
    <s v="Normal"/>
  </r>
  <r>
    <s v="EX20157"/>
    <x v="7"/>
    <x v="7"/>
    <x v="1"/>
    <x v="123"/>
    <d v="2025-11-02T00:00:00"/>
    <n v="3.1"/>
    <n v="21"/>
    <x v="1"/>
    <s v="Not Stated"/>
    <x v="11"/>
    <x v="23"/>
    <s v="Discharged Home"/>
    <s v="No"/>
    <n v="13"/>
    <n v="30"/>
    <n v="0.43330000000000002"/>
    <n v="400"/>
    <n v="1240"/>
    <s v="EMRG-GEN"/>
    <s v="CC-EMERG-04"/>
    <n v="1075.8599999999999"/>
    <n v="0.43333333333333335"/>
    <n v="0"/>
    <s v="18-34"/>
    <s v="Medium (3-7)"/>
    <d v="2025-10-01T00:00:00"/>
    <n v="1240"/>
    <s v="Normal"/>
  </r>
  <r>
    <s v="EX20158"/>
    <x v="5"/>
    <x v="5"/>
    <x v="2"/>
    <x v="124"/>
    <d v="2025-08-04T00:00:00"/>
    <n v="0.6"/>
    <n v="67"/>
    <x v="0"/>
    <s v="Black/African/Caribbean"/>
    <x v="9"/>
    <x v="24"/>
    <s v="Discharged Home"/>
    <s v="Yes"/>
    <n v="13"/>
    <n v="30"/>
    <n v="0.43330000000000002"/>
    <n v="510"/>
    <n v="306"/>
    <s v="CARD-GEN"/>
    <s v="CC-CARDIO-01"/>
    <n v="3964.56"/>
    <n v="0.43333333333333335"/>
    <n v="1"/>
    <s v="65-79"/>
    <s v="Short (&lt;3)"/>
    <d v="2025-08-01T00:00:00"/>
    <n v="306"/>
    <s v="Normal"/>
  </r>
  <r>
    <s v="EX20159"/>
    <x v="2"/>
    <x v="2"/>
    <x v="2"/>
    <x v="125"/>
    <d v="2025-09-13T00:00:00"/>
    <n v="7.9"/>
    <n v="46"/>
    <x v="1"/>
    <s v="White British"/>
    <x v="3"/>
    <x v="13"/>
    <s v="Discharged Home"/>
    <s v="No"/>
    <n v="19"/>
    <n v="30"/>
    <n v="0.63329999999999997"/>
    <n v="450"/>
    <n v="3555"/>
    <s v="ONCO-GEN"/>
    <s v="CC-ONCOL-05"/>
    <n v="3591.24"/>
    <n v="0.6333333333333333"/>
    <n v="0"/>
    <s v="35-49"/>
    <s v="Long (&gt;7)"/>
    <d v="2025-09-01T00:00:00"/>
    <n v="3555"/>
    <s v="Normal"/>
  </r>
  <r>
    <s v="EX20160"/>
    <x v="3"/>
    <x v="3"/>
    <x v="0"/>
    <x v="126"/>
    <d v="2025-11-17T00:00:00"/>
    <n v="3.8"/>
    <n v="21"/>
    <x v="0"/>
    <s v="Mixed/Multiple"/>
    <x v="4"/>
    <x v="5"/>
    <s v="Discharged Home"/>
    <s v="No"/>
    <n v="25"/>
    <n v="30"/>
    <n v="0.83330000000000004"/>
    <n v="400"/>
    <n v="1520"/>
    <s v="GENM-GEN"/>
    <s v="CC-GENMED-03"/>
    <n v="1554.51"/>
    <n v="0.83333333333333337"/>
    <n v="0"/>
    <s v="18-34"/>
    <s v="Medium (3-7)"/>
    <d v="2025-11-01T00:00:00"/>
    <n v="1520"/>
    <s v="Normal"/>
  </r>
  <r>
    <s v="EX20161"/>
    <x v="0"/>
    <x v="0"/>
    <x v="1"/>
    <x v="127"/>
    <d v="2025-03-01T00:00:00"/>
    <n v="2"/>
    <n v="29"/>
    <x v="1"/>
    <s v="Not Stated"/>
    <x v="1"/>
    <x v="1"/>
    <s v="Self-Discharge"/>
    <s v="No"/>
    <n v="23"/>
    <n v="30"/>
    <n v="0.76670000000000005"/>
    <n v="450"/>
    <n v="900"/>
    <s v="RESP-GEN"/>
    <s v="CC-RESPI-08"/>
    <n v="2811.45"/>
    <n v="0.76666666666666672"/>
    <n v="0"/>
    <s v="18-34"/>
    <s v="Short (&lt;3)"/>
    <d v="2025-02-01T00:00:00"/>
    <n v="900"/>
    <s v="Normal"/>
  </r>
  <r>
    <s v="EX20162"/>
    <x v="7"/>
    <x v="7"/>
    <x v="2"/>
    <x v="128"/>
    <d v="2025-03-26T00:00:00"/>
    <n v="4.4000000000000004"/>
    <n v="62"/>
    <x v="1"/>
    <s v="Mixed/Multiple"/>
    <x v="11"/>
    <x v="23"/>
    <s v="Transfer to Other Trust"/>
    <s v="No"/>
    <n v="27"/>
    <n v="30"/>
    <n v="0.9"/>
    <n v="510"/>
    <n v="2244"/>
    <s v="EMRG-GEN"/>
    <s v="CC-EMERG-04"/>
    <n v="890.76"/>
    <n v="0.9"/>
    <n v="0"/>
    <s v="50-64"/>
    <s v="Medium (3-7)"/>
    <d v="2025-03-01T00:00:00"/>
    <n v="2244"/>
    <s v="Normal"/>
  </r>
  <r>
    <s v="EX20163"/>
    <x v="7"/>
    <x v="7"/>
    <x v="1"/>
    <x v="129"/>
    <d v="2025-06-03T00:00:00"/>
    <n v="7.4"/>
    <n v="74"/>
    <x v="1"/>
    <s v="Other Ethnic Group"/>
    <x v="12"/>
    <x v="23"/>
    <s v="Discharged Home"/>
    <s v="No"/>
    <n v="25"/>
    <n v="30"/>
    <n v="0.83330000000000004"/>
    <n v="400"/>
    <n v="2960"/>
    <s v="ONCO-GEN"/>
    <s v="CC-ONCOL-05"/>
    <n v="8915.92"/>
    <n v="0.83333333333333337"/>
    <n v="0"/>
    <s v="65-79"/>
    <s v="Long (&gt;7)"/>
    <d v="2025-05-01T00:00:00"/>
    <n v="2960"/>
    <s v="Normal"/>
  </r>
  <r>
    <s v="EX20164"/>
    <x v="6"/>
    <x v="6"/>
    <x v="0"/>
    <x v="130"/>
    <d v="2025-05-24T00:00:00"/>
    <n v="4.4000000000000004"/>
    <n v="19"/>
    <x v="1"/>
    <s v="Black/African/Caribbean"/>
    <x v="10"/>
    <x v="11"/>
    <s v="Discharged to Community Care"/>
    <s v="No"/>
    <n v="27"/>
    <n v="30"/>
    <n v="0.9"/>
    <n v="375"/>
    <n v="1650"/>
    <s v="NEUR-GEN"/>
    <s v="CC-NEURO-07"/>
    <n v="1410.67"/>
    <n v="0.9"/>
    <n v="0"/>
    <s v="18-34"/>
    <s v="Medium (3-7)"/>
    <d v="2025-05-01T00:00:00"/>
    <n v="1650.0000000000002"/>
    <s v="Normal"/>
  </r>
  <r>
    <s v="EX20165"/>
    <x v="7"/>
    <x v="7"/>
    <x v="1"/>
    <x v="107"/>
    <d v="2025-08-07T00:00:00"/>
    <n v="11.7"/>
    <n v="50"/>
    <x v="1"/>
    <s v="White British"/>
    <x v="11"/>
    <x v="23"/>
    <s v="Discharged to Community Care"/>
    <s v="No"/>
    <n v="29"/>
    <n v="30"/>
    <n v="0.9667"/>
    <n v="425"/>
    <n v="4972.5"/>
    <s v="RESP-GEN"/>
    <s v="CC-RESPI-08"/>
    <n v="1542.84"/>
    <n v="0.96666666666666667"/>
    <n v="0"/>
    <s v="50-64"/>
    <s v="Long (&gt;7)"/>
    <d v="2025-07-01T00:00:00"/>
    <n v="4972.5"/>
    <s v="Normal"/>
  </r>
  <r>
    <s v="EX20166"/>
    <x v="2"/>
    <x v="2"/>
    <x v="1"/>
    <x v="131"/>
    <d v="2025-08-26T00:00:00"/>
    <n v="7.2"/>
    <n v="74"/>
    <x v="1"/>
    <s v="White British"/>
    <x v="3"/>
    <x v="31"/>
    <s v="Discharged to Community Care"/>
    <s v="No"/>
    <n v="29"/>
    <n v="30"/>
    <n v="0.9667"/>
    <n v="425"/>
    <n v="3060"/>
    <s v="ONCO-GEN"/>
    <s v="CC-ONCOL-05"/>
    <n v="4146.63"/>
    <n v="0.96666666666666667"/>
    <n v="0"/>
    <s v="65-79"/>
    <s v="Long (&gt;7)"/>
    <d v="2025-08-01T00:00:00"/>
    <n v="3060"/>
    <s v="Normal"/>
  </r>
  <r>
    <s v="EX20167"/>
    <x v="2"/>
    <x v="2"/>
    <x v="0"/>
    <x v="132"/>
    <d v="2025-03-09T00:00:00"/>
    <n v="7.6"/>
    <n v="26"/>
    <x v="1"/>
    <s v="Asian/Asian British"/>
    <x v="8"/>
    <x v="22"/>
    <s v="Discharged Home"/>
    <s v="No"/>
    <n v="18"/>
    <n v="30"/>
    <n v="0.6"/>
    <n v="350"/>
    <n v="2660"/>
    <s v="EMRG-GEN"/>
    <s v="CC-EMERG-04"/>
    <n v="300.91000000000003"/>
    <n v="0.6"/>
    <n v="0"/>
    <s v="18-34"/>
    <s v="Long (&gt;7)"/>
    <d v="2025-03-01T00:00:00"/>
    <n v="2660"/>
    <s v="Normal"/>
  </r>
  <r>
    <s v="EX20168"/>
    <x v="3"/>
    <x v="3"/>
    <x v="0"/>
    <x v="115"/>
    <d v="2025-05-13T00:00:00"/>
    <n v="6.9"/>
    <n v="62"/>
    <x v="1"/>
    <s v="Black/African/Caribbean"/>
    <x v="5"/>
    <x v="4"/>
    <s v="Discharged Home"/>
    <s v="No"/>
    <n v="24"/>
    <n v="30"/>
    <n v="0.8"/>
    <n v="425"/>
    <n v="2932.5"/>
    <s v="CARD-GEN"/>
    <s v="CC-CARDIO-01"/>
    <n v="2815.76"/>
    <n v="0.8"/>
    <n v="0"/>
    <s v="50-64"/>
    <s v="Medium (3-7)"/>
    <d v="2025-05-01T00:00:00"/>
    <n v="2932.5"/>
    <s v="Normal"/>
  </r>
  <r>
    <s v="EX20169"/>
    <x v="4"/>
    <x v="4"/>
    <x v="1"/>
    <x v="133"/>
    <d v="2025-03-11T00:00:00"/>
    <n v="1"/>
    <n v="25"/>
    <x v="1"/>
    <s v="Asian/Asian British"/>
    <x v="6"/>
    <x v="7"/>
    <s v="Discharged Home"/>
    <s v="No"/>
    <n v="28"/>
    <n v="30"/>
    <n v="0.93330000000000002"/>
    <n v="375"/>
    <n v="375"/>
    <s v="ORTH-GEN"/>
    <s v="CC-ORTHO-02"/>
    <n v="3395.37"/>
    <n v="0.93333333333333335"/>
    <n v="0"/>
    <s v="18-34"/>
    <s v="Short (&lt;3)"/>
    <d v="2025-03-01T00:00:00"/>
    <n v="375"/>
    <s v="Normal"/>
  </r>
  <r>
    <s v="EX20170"/>
    <x v="2"/>
    <x v="2"/>
    <x v="1"/>
    <x v="98"/>
    <d v="2025-04-08T00:00:00"/>
    <n v="7.4"/>
    <n v="41"/>
    <x v="1"/>
    <s v="White British"/>
    <x v="8"/>
    <x v="31"/>
    <s v="Discharged Home"/>
    <s v="No"/>
    <n v="14"/>
    <n v="30"/>
    <n v="0.4667"/>
    <n v="375"/>
    <n v="2775"/>
    <s v="ONCO-GEN"/>
    <s v="CC-ONCOL-05"/>
    <n v="5206.1499999999996"/>
    <n v="0.46666666666666667"/>
    <n v="0"/>
    <s v="35-49"/>
    <s v="Long (&gt;7)"/>
    <d v="2025-04-01T00:00:00"/>
    <n v="2775"/>
    <s v="Normal"/>
  </r>
  <r>
    <s v="EX20171"/>
    <x v="2"/>
    <x v="2"/>
    <x v="2"/>
    <x v="134"/>
    <d v="2025-03-21T00:00:00"/>
    <n v="4.8"/>
    <n v="85"/>
    <x v="1"/>
    <s v="Other Ethnic Group"/>
    <x v="8"/>
    <x v="31"/>
    <s v="Discharged Home"/>
    <s v="No"/>
    <n v="18"/>
    <n v="30"/>
    <n v="0.6"/>
    <n v="425"/>
    <n v="2040"/>
    <s v="ORTH-GEN"/>
    <s v="CC-ORTHO-02"/>
    <n v="7776.39"/>
    <n v="0.6"/>
    <n v="0"/>
    <s v="80+"/>
    <s v="Medium (3-7)"/>
    <d v="2025-03-01T00:00:00"/>
    <n v="2040"/>
    <s v="Normal"/>
  </r>
  <r>
    <s v="EX20172"/>
    <x v="1"/>
    <x v="1"/>
    <x v="1"/>
    <x v="135"/>
    <d v="2025-09-03T00:00:00"/>
    <n v="9"/>
    <n v="32"/>
    <x v="1"/>
    <s v="Mixed/Multiple"/>
    <x v="13"/>
    <x v="21"/>
    <s v="Discharged Home"/>
    <s v="No"/>
    <n v="27"/>
    <n v="30"/>
    <n v="0.9"/>
    <n v="510"/>
    <n v="4590"/>
    <s v="CARD-GEN"/>
    <s v="CC-CARDIO-01"/>
    <n v="4086.22"/>
    <n v="0.9"/>
    <n v="0"/>
    <s v="18-34"/>
    <s v="Long (&gt;7)"/>
    <d v="2025-08-01T00:00:00"/>
    <n v="4590"/>
    <s v="Normal"/>
  </r>
  <r>
    <s v="EX20173"/>
    <x v="3"/>
    <x v="3"/>
    <x v="1"/>
    <x v="7"/>
    <d v="2025-05-06T00:00:00"/>
    <n v="6.3"/>
    <n v="79"/>
    <x v="0"/>
    <s v="Asian/Asian British"/>
    <x v="5"/>
    <x v="25"/>
    <s v="Discharged Home"/>
    <s v="No"/>
    <n v="24"/>
    <n v="30"/>
    <n v="0.8"/>
    <n v="350"/>
    <n v="2205"/>
    <s v="CARD-GEN"/>
    <s v="CC-CARDIO-01"/>
    <n v="3027.23"/>
    <n v="0.8"/>
    <n v="0"/>
    <s v="65-79"/>
    <s v="Medium (3-7)"/>
    <d v="2025-04-01T00:00:00"/>
    <n v="2205"/>
    <s v="Normal"/>
  </r>
  <r>
    <s v="EX20174"/>
    <x v="1"/>
    <x v="1"/>
    <x v="1"/>
    <x v="136"/>
    <d v="2025-07-27T00:00:00"/>
    <n v="9.3000000000000007"/>
    <n v="76"/>
    <x v="0"/>
    <s v="Other Ethnic Group"/>
    <x v="2"/>
    <x v="2"/>
    <s v="Discharged to Community Care"/>
    <s v="No"/>
    <n v="27"/>
    <n v="30"/>
    <n v="0.9"/>
    <n v="375"/>
    <n v="3487.5"/>
    <s v="NEUR-GEN"/>
    <s v="CC-NEURO-07"/>
    <n v="1093.93"/>
    <n v="0.9"/>
    <n v="0"/>
    <s v="65-79"/>
    <s v="Long (&gt;7)"/>
    <d v="2025-07-01T00:00:00"/>
    <n v="3487.5000000000005"/>
    <s v="Normal"/>
  </r>
  <r>
    <s v="EX20175"/>
    <x v="1"/>
    <x v="1"/>
    <x v="1"/>
    <x v="128"/>
    <d v="2025-03-25T00:00:00"/>
    <n v="3.9"/>
    <n v="34"/>
    <x v="1"/>
    <s v="Other Ethnic Group"/>
    <x v="2"/>
    <x v="21"/>
    <s v="Discharged Home"/>
    <s v="No"/>
    <n v="29"/>
    <n v="30"/>
    <n v="0.9667"/>
    <n v="425"/>
    <n v="1657.5"/>
    <s v="ONCO-GEN"/>
    <s v="CC-ONCOL-05"/>
    <n v="2595.98"/>
    <n v="0.96666666666666667"/>
    <n v="0"/>
    <s v="18-34"/>
    <s v="Medium (3-7)"/>
    <d v="2025-03-01T00:00:00"/>
    <n v="1657.5"/>
    <s v="Normal"/>
  </r>
  <r>
    <s v="EX20176"/>
    <x v="7"/>
    <x v="7"/>
    <x v="1"/>
    <x v="35"/>
    <d v="2025-09-02T00:00:00"/>
    <n v="12.6"/>
    <n v="37"/>
    <x v="1"/>
    <s v="Not Stated"/>
    <x v="12"/>
    <x v="19"/>
    <s v="Discharged Home"/>
    <s v="No"/>
    <n v="27"/>
    <n v="30"/>
    <n v="0.9"/>
    <n v="480"/>
    <n v="6048"/>
    <s v="PEDS-GEN"/>
    <s v="CC-PAEDS-06"/>
    <n v="1147.4000000000001"/>
    <n v="0.9"/>
    <n v="0"/>
    <s v="35-49"/>
    <s v="Long (&gt;7)"/>
    <d v="2025-08-01T00:00:00"/>
    <n v="6048"/>
    <s v="Normal"/>
  </r>
  <r>
    <s v="EX20177"/>
    <x v="1"/>
    <x v="1"/>
    <x v="1"/>
    <x v="137"/>
    <d v="2025-05-08T00:00:00"/>
    <n v="6.9"/>
    <n v="87"/>
    <x v="1"/>
    <s v="Mixed/Multiple"/>
    <x v="13"/>
    <x v="27"/>
    <s v="Discharged Home"/>
    <s v="No"/>
    <n v="18"/>
    <n v="30"/>
    <n v="0.6"/>
    <n v="425"/>
    <n v="2932.5"/>
    <s v="ONCO-GEN"/>
    <s v="CC-ONCOL-05"/>
    <n v="3013.31"/>
    <n v="0.6"/>
    <n v="0"/>
    <s v="80+"/>
    <s v="Medium (3-7)"/>
    <d v="2025-05-01T00:00:00"/>
    <n v="2932.5"/>
    <s v="Normal"/>
  </r>
  <r>
    <s v="EX20178"/>
    <x v="6"/>
    <x v="6"/>
    <x v="1"/>
    <x v="138"/>
    <d v="2025-02-01T00:00:00"/>
    <n v="7"/>
    <n v="31"/>
    <x v="0"/>
    <s v="Not Stated"/>
    <x v="10"/>
    <x v="11"/>
    <s v="Discharged to Community Care"/>
    <s v="No"/>
    <n v="14"/>
    <n v="30"/>
    <n v="0.4667"/>
    <n v="425"/>
    <n v="2975"/>
    <s v="EMRG-GEN"/>
    <s v="CC-EMERG-04"/>
    <n v="1001.32"/>
    <n v="0.46666666666666667"/>
    <n v="0"/>
    <s v="18-34"/>
    <s v="Medium (3-7)"/>
    <d v="2025-01-01T00:00:00"/>
    <n v="2975"/>
    <s v="Normal"/>
  </r>
  <r>
    <s v="EX20179"/>
    <x v="1"/>
    <x v="1"/>
    <x v="2"/>
    <x v="37"/>
    <d v="2025-02-26T00:00:00"/>
    <n v="3.5"/>
    <n v="87"/>
    <x v="1"/>
    <s v="Asian/Asian British"/>
    <x v="2"/>
    <x v="21"/>
    <s v="Discharged Home"/>
    <s v="No"/>
    <n v="29"/>
    <n v="30"/>
    <n v="0.9667"/>
    <n v="425"/>
    <n v="1487.5"/>
    <s v="ORTH-GEN"/>
    <s v="CC-ORTHO-02"/>
    <n v="5896.92"/>
    <n v="0.96666666666666667"/>
    <n v="0"/>
    <s v="80+"/>
    <s v="Medium (3-7)"/>
    <d v="2025-02-01T00:00:00"/>
    <n v="1487.5"/>
    <s v="Normal"/>
  </r>
  <r>
    <s v="EX20180"/>
    <x v="7"/>
    <x v="7"/>
    <x v="0"/>
    <x v="139"/>
    <d v="2025-08-20T00:00:00"/>
    <n v="5.4"/>
    <n v="24"/>
    <x v="1"/>
    <s v="Other Ethnic Group"/>
    <x v="12"/>
    <x v="30"/>
    <s v="Self-Discharge"/>
    <s v="Yes"/>
    <n v="30"/>
    <n v="30"/>
    <n v="1"/>
    <n v="425"/>
    <n v="2295"/>
    <s v="NEUR-GEN"/>
    <s v="CC-NEURO-07"/>
    <n v="1587.82"/>
    <n v="1"/>
    <n v="1"/>
    <s v="18-34"/>
    <s v="Medium (3-7)"/>
    <d v="2025-08-01T00:00:00"/>
    <n v="2295"/>
    <s v="Normal"/>
  </r>
  <r>
    <s v="EX20181"/>
    <x v="3"/>
    <x v="3"/>
    <x v="1"/>
    <x v="140"/>
    <d v="2025-01-09T00:00:00"/>
    <n v="4.3"/>
    <n v="27"/>
    <x v="1"/>
    <s v="Other Ethnic Group"/>
    <x v="4"/>
    <x v="4"/>
    <s v="Discharged to Community Care"/>
    <s v="No"/>
    <n v="22"/>
    <n v="30"/>
    <n v="0.73329999999999995"/>
    <n v="450"/>
    <n v="1935"/>
    <s v="NEUR-GEN"/>
    <s v="CC-NEURO-07"/>
    <n v="2063.42"/>
    <n v="0.73333333333333328"/>
    <n v="0"/>
    <s v="18-34"/>
    <s v="Medium (3-7)"/>
    <d v="2025-01-01T00:00:00"/>
    <n v="1935"/>
    <s v="Normal"/>
  </r>
  <r>
    <s v="EX20182"/>
    <x v="4"/>
    <x v="4"/>
    <x v="1"/>
    <x v="141"/>
    <d v="2025-09-02T00:00:00"/>
    <n v="1.5"/>
    <n v="19"/>
    <x v="1"/>
    <s v="Not Stated"/>
    <x v="6"/>
    <x v="6"/>
    <s v="Discharged Home"/>
    <s v="No"/>
    <n v="30"/>
    <n v="30"/>
    <n v="1"/>
    <n v="510"/>
    <n v="765"/>
    <s v="GENM-GEN"/>
    <s v="CC-GENMED-03"/>
    <n v="2237.04"/>
    <n v="1"/>
    <n v="0"/>
    <s v="18-34"/>
    <s v="Short (&lt;3)"/>
    <d v="2025-09-01T00:00:00"/>
    <n v="765"/>
    <s v="Normal"/>
  </r>
  <r>
    <s v="EX20183"/>
    <x v="0"/>
    <x v="0"/>
    <x v="1"/>
    <x v="142"/>
    <d v="2026-01-01T00:00:00"/>
    <n v="6.9"/>
    <n v="54"/>
    <x v="1"/>
    <s v="Mixed/Multiple"/>
    <x v="1"/>
    <x v="18"/>
    <s v="Self-Discharge"/>
    <s v="No"/>
    <n v="13"/>
    <n v="30"/>
    <n v="0.43330000000000002"/>
    <n v="510"/>
    <n v="3519"/>
    <s v="ONCO-GEN"/>
    <s v="CC-ONCOL-05"/>
    <n v="2789.5"/>
    <n v="0.43333333333333335"/>
    <n v="0"/>
    <s v="50-64"/>
    <s v="Medium (3-7)"/>
    <d v="2025-12-01T00:00:00"/>
    <n v="3519"/>
    <s v="Normal"/>
  </r>
  <r>
    <s v="EX20184"/>
    <x v="0"/>
    <x v="0"/>
    <x v="1"/>
    <x v="64"/>
    <d v="2025-04-14T00:00:00"/>
    <n v="8.9"/>
    <n v="36"/>
    <x v="1"/>
    <s v="Not Stated"/>
    <x v="1"/>
    <x v="18"/>
    <s v="Discharged Home"/>
    <s v="No"/>
    <n v="29"/>
    <n v="30"/>
    <n v="0.9667"/>
    <n v="480"/>
    <n v="4272"/>
    <s v="RESP-GEN"/>
    <s v="CC-RESPI-08"/>
    <n v="2491.79"/>
    <n v="0.96666666666666667"/>
    <n v="0"/>
    <s v="35-49"/>
    <s v="Long (&gt;7)"/>
    <d v="2025-04-01T00:00:00"/>
    <n v="4272"/>
    <s v="Normal"/>
  </r>
  <r>
    <s v="EX20185"/>
    <x v="1"/>
    <x v="1"/>
    <x v="1"/>
    <x v="17"/>
    <d v="2025-07-30T00:00:00"/>
    <n v="7"/>
    <n v="47"/>
    <x v="0"/>
    <s v="Other Ethnic Group"/>
    <x v="13"/>
    <x v="27"/>
    <s v="Discharged to Community Care"/>
    <s v="No"/>
    <n v="23"/>
    <n v="30"/>
    <n v="0.76670000000000005"/>
    <n v="510"/>
    <n v="3570"/>
    <s v="PEDS-GEN"/>
    <s v="CC-PAEDS-06"/>
    <n v="2239.12"/>
    <n v="0.76666666666666672"/>
    <n v="0"/>
    <s v="35-49"/>
    <s v="Medium (3-7)"/>
    <d v="2025-07-01T00:00:00"/>
    <n v="3570"/>
    <s v="Normal"/>
  </r>
  <r>
    <s v="EX20186"/>
    <x v="5"/>
    <x v="5"/>
    <x v="1"/>
    <x v="0"/>
    <d v="2025-04-13T00:00:00"/>
    <n v="0.7"/>
    <n v="64"/>
    <x v="1"/>
    <s v="Other Ethnic Group"/>
    <x v="9"/>
    <x v="29"/>
    <s v="Discharged Home"/>
    <s v="No"/>
    <n v="16"/>
    <n v="30"/>
    <n v="0.5333"/>
    <n v="450"/>
    <n v="315"/>
    <s v="GENM-GEN"/>
    <s v="CC-GENMED-03"/>
    <n v="1953.15"/>
    <n v="0.53333333333333333"/>
    <n v="0"/>
    <s v="50-64"/>
    <s v="Short (&lt;3)"/>
    <d v="2025-04-01T00:00:00"/>
    <n v="315"/>
    <s v="Normal"/>
  </r>
  <r>
    <s v="EX20187"/>
    <x v="0"/>
    <x v="0"/>
    <x v="2"/>
    <x v="143"/>
    <d v="2025-11-29T00:00:00"/>
    <n v="3.4"/>
    <n v="30"/>
    <x v="0"/>
    <s v="Not Stated"/>
    <x v="0"/>
    <x v="1"/>
    <s v="Discharged Home"/>
    <s v="No"/>
    <n v="20"/>
    <n v="30"/>
    <n v="0.66669999999999996"/>
    <n v="510"/>
    <n v="1734"/>
    <s v="GENM-GEN"/>
    <s v="CC-GENMED-03"/>
    <n v="1112.8900000000001"/>
    <n v="0.66666666666666663"/>
    <n v="0"/>
    <s v="18-34"/>
    <s v="Medium (3-7)"/>
    <d v="2025-11-01T00:00:00"/>
    <n v="1734"/>
    <s v="Normal"/>
  </r>
  <r>
    <s v="EX20188"/>
    <x v="6"/>
    <x v="6"/>
    <x v="1"/>
    <x v="144"/>
    <d v="2025-03-05T00:00:00"/>
    <n v="5.9"/>
    <n v="29"/>
    <x v="0"/>
    <s v="White British"/>
    <x v="10"/>
    <x v="28"/>
    <s v="Discharged Home"/>
    <s v="No"/>
    <n v="30"/>
    <n v="30"/>
    <n v="1"/>
    <n v="450"/>
    <n v="2655"/>
    <s v="RESP-GEN"/>
    <s v="CC-RESPI-08"/>
    <n v="2428.7199999999998"/>
    <n v="1"/>
    <n v="0"/>
    <s v="18-34"/>
    <s v="Medium (3-7)"/>
    <d v="2025-02-01T00:00:00"/>
    <n v="2655"/>
    <s v="Normal"/>
  </r>
  <r>
    <s v="EX20189"/>
    <x v="6"/>
    <x v="6"/>
    <x v="0"/>
    <x v="145"/>
    <d v="2025-01-05T00:00:00"/>
    <n v="2.4"/>
    <n v="19"/>
    <x v="0"/>
    <s v="Other Ethnic Group"/>
    <x v="10"/>
    <x v="11"/>
    <s v="Discharged Home"/>
    <s v="No"/>
    <n v="19"/>
    <n v="30"/>
    <n v="0.63329999999999997"/>
    <n v="400"/>
    <n v="960"/>
    <s v="NEUR-GEN"/>
    <s v="CC-NEURO-07"/>
    <n v="1626.62"/>
    <n v="0.6333333333333333"/>
    <n v="0"/>
    <s v="18-34"/>
    <s v="Short (&lt;3)"/>
    <d v="2025-01-01T00:00:00"/>
    <n v="960"/>
    <s v="Normal"/>
  </r>
  <r>
    <s v="EX20190"/>
    <x v="6"/>
    <x v="6"/>
    <x v="2"/>
    <x v="146"/>
    <d v="2025-01-11T00:00:00"/>
    <n v="7.4"/>
    <n v="35"/>
    <x v="0"/>
    <s v="Black/African/Caribbean"/>
    <x v="15"/>
    <x v="11"/>
    <s v="Discharged Home"/>
    <s v="No"/>
    <n v="18"/>
    <n v="30"/>
    <n v="0.6"/>
    <n v="400"/>
    <n v="2960"/>
    <s v="NEUR-GEN"/>
    <s v="CC-NEURO-07"/>
    <n v="3035"/>
    <n v="0.6"/>
    <n v="0"/>
    <s v="35-49"/>
    <s v="Long (&gt;7)"/>
    <d v="2025-01-01T00:00:00"/>
    <n v="2960"/>
    <s v="Normal"/>
  </r>
  <r>
    <s v="EX20191"/>
    <x v="2"/>
    <x v="2"/>
    <x v="1"/>
    <x v="147"/>
    <d v="2025-02-06T00:00:00"/>
    <n v="4.8"/>
    <n v="25"/>
    <x v="0"/>
    <s v="Not Stated"/>
    <x v="8"/>
    <x v="3"/>
    <s v="Discharged to Community Care"/>
    <s v="No"/>
    <n v="30"/>
    <n v="30"/>
    <n v="1"/>
    <n v="400"/>
    <n v="1920"/>
    <s v="GENM-GEN"/>
    <s v="CC-GENMED-03"/>
    <n v="2045.65"/>
    <n v="1"/>
    <n v="0"/>
    <s v="18-34"/>
    <s v="Medium (3-7)"/>
    <d v="2025-02-01T00:00:00"/>
    <n v="1920"/>
    <s v="Normal"/>
  </r>
  <r>
    <s v="EX20192"/>
    <x v="5"/>
    <x v="5"/>
    <x v="2"/>
    <x v="148"/>
    <d v="2025-05-14T00:00:00"/>
    <n v="1.5"/>
    <n v="40"/>
    <x v="1"/>
    <s v="Mixed/Multiple"/>
    <x v="9"/>
    <x v="24"/>
    <s v="Discharged Home"/>
    <s v="No"/>
    <n v="13"/>
    <n v="30"/>
    <n v="0.43330000000000002"/>
    <n v="480"/>
    <n v="720"/>
    <s v="PEDS-GEN"/>
    <s v="CC-PAEDS-06"/>
    <n v="2654.42"/>
    <n v="0.43333333333333335"/>
    <n v="0"/>
    <s v="35-49"/>
    <s v="Short (&lt;3)"/>
    <d v="2025-05-01T00:00:00"/>
    <n v="720"/>
    <s v="Normal"/>
  </r>
  <r>
    <s v="EX20193"/>
    <x v="5"/>
    <x v="5"/>
    <x v="0"/>
    <x v="149"/>
    <d v="2025-12-23T00:00:00"/>
    <n v="1.6"/>
    <n v="18"/>
    <x v="0"/>
    <s v="White British"/>
    <x v="9"/>
    <x v="24"/>
    <s v="Self-Discharge"/>
    <s v="No"/>
    <n v="30"/>
    <n v="30"/>
    <n v="1"/>
    <n v="425"/>
    <n v="680"/>
    <s v="ONCO-GEN"/>
    <s v="CC-ONCOL-05"/>
    <n v="8212.3700000000008"/>
    <n v="1"/>
    <n v="0"/>
    <s v="18-34"/>
    <s v="Short (&lt;3)"/>
    <d v="2025-12-01T00:00:00"/>
    <n v="680"/>
    <s v="Normal"/>
  </r>
  <r>
    <s v="EX20194"/>
    <x v="1"/>
    <x v="1"/>
    <x v="1"/>
    <x v="150"/>
    <d v="2025-11-21T00:00:00"/>
    <n v="5.2"/>
    <n v="84"/>
    <x v="0"/>
    <s v="Not Stated"/>
    <x v="13"/>
    <x v="27"/>
    <s v="Discharged Home"/>
    <s v="Yes"/>
    <n v="19"/>
    <n v="30"/>
    <n v="0.63329999999999997"/>
    <n v="425"/>
    <n v="2210"/>
    <s v="EMRG-GEN"/>
    <s v="CC-EMERG-04"/>
    <n v="842.05"/>
    <n v="0.6333333333333333"/>
    <n v="1"/>
    <s v="80+"/>
    <s v="Medium (3-7)"/>
    <d v="2025-11-01T00:00:00"/>
    <n v="2210"/>
    <s v="Normal"/>
  </r>
  <r>
    <s v="EX20195"/>
    <x v="7"/>
    <x v="7"/>
    <x v="2"/>
    <x v="151"/>
    <d v="2025-10-30T00:00:00"/>
    <n v="4.9000000000000004"/>
    <n v="24"/>
    <x v="1"/>
    <s v="Other Ethnic Group"/>
    <x v="12"/>
    <x v="12"/>
    <s v="Self-Discharge"/>
    <s v="No"/>
    <n v="24"/>
    <n v="30"/>
    <n v="0.8"/>
    <n v="375"/>
    <n v="1837.5"/>
    <s v="ONCO-GEN"/>
    <s v="CC-ONCOL-05"/>
    <n v="7442.98"/>
    <n v="0.8"/>
    <n v="0"/>
    <s v="18-34"/>
    <s v="Medium (3-7)"/>
    <d v="2025-10-01T00:00:00"/>
    <n v="1837.5000000000002"/>
    <s v="Normal"/>
  </r>
  <r>
    <s v="EX20196"/>
    <x v="1"/>
    <x v="1"/>
    <x v="0"/>
    <x v="152"/>
    <d v="2025-03-15T00:00:00"/>
    <n v="6.9"/>
    <n v="59"/>
    <x v="0"/>
    <s v="Not Stated"/>
    <x v="2"/>
    <x v="27"/>
    <s v="Discharged Home"/>
    <s v="No"/>
    <n v="26"/>
    <n v="30"/>
    <n v="0.86670000000000003"/>
    <n v="350"/>
    <n v="2415"/>
    <s v="RESP-GEN"/>
    <s v="CC-RESPI-08"/>
    <n v="1901.41"/>
    <n v="0.8666666666666667"/>
    <n v="0"/>
    <s v="50-64"/>
    <s v="Medium (3-7)"/>
    <d v="2025-03-01T00:00:00"/>
    <n v="2415"/>
    <s v="Normal"/>
  </r>
  <r>
    <s v="EX20197"/>
    <x v="3"/>
    <x v="3"/>
    <x v="1"/>
    <x v="63"/>
    <d v="2025-05-09T00:00:00"/>
    <n v="4.8"/>
    <n v="40"/>
    <x v="1"/>
    <s v="Black/African/Caribbean"/>
    <x v="4"/>
    <x v="5"/>
    <s v="Discharged Home"/>
    <s v="No"/>
    <n v="18"/>
    <n v="30"/>
    <n v="0.6"/>
    <n v="350"/>
    <n v="1680"/>
    <s v="NEUR-GEN"/>
    <s v="CC-NEURO-07"/>
    <n v="1216.43"/>
    <n v="0.6"/>
    <n v="0"/>
    <s v="35-49"/>
    <s v="Medium (3-7)"/>
    <d v="2025-05-01T00:00:00"/>
    <n v="1680"/>
    <s v="Normal"/>
  </r>
  <r>
    <s v="EX20198"/>
    <x v="7"/>
    <x v="7"/>
    <x v="2"/>
    <x v="153"/>
    <d v="2025-11-24T00:00:00"/>
    <n v="2.7"/>
    <n v="66"/>
    <x v="0"/>
    <s v="White British"/>
    <x v="11"/>
    <x v="12"/>
    <s v="Discharged Home"/>
    <s v="No"/>
    <n v="14"/>
    <n v="30"/>
    <n v="0.4667"/>
    <n v="450"/>
    <n v="1215"/>
    <s v="GENM-GEN"/>
    <s v="CC-GENMED-03"/>
    <n v="1118.45"/>
    <n v="0.46666666666666667"/>
    <n v="0"/>
    <s v="65-79"/>
    <s v="Short (&lt;3)"/>
    <d v="2025-11-01T00:00:00"/>
    <n v="1215"/>
    <s v="Normal"/>
  </r>
  <r>
    <s v="EX20199"/>
    <x v="7"/>
    <x v="7"/>
    <x v="0"/>
    <x v="154"/>
    <d v="2025-02-25T00:00:00"/>
    <n v="8.5"/>
    <n v="82"/>
    <x v="0"/>
    <s v="Asian/Asian British"/>
    <x v="12"/>
    <x v="12"/>
    <s v="Self-Discharge"/>
    <s v="No"/>
    <n v="21"/>
    <n v="30"/>
    <n v="0.7"/>
    <n v="480"/>
    <n v="4080"/>
    <s v="RESP-GEN"/>
    <s v="CC-RESPI-08"/>
    <n v="2378.8200000000002"/>
    <n v="0.7"/>
    <n v="0"/>
    <s v="80+"/>
    <s v="Long (&gt;7)"/>
    <d v="2025-02-01T00:00:00"/>
    <n v="4080"/>
    <s v="Normal"/>
  </r>
  <r>
    <s v="EX20200"/>
    <x v="7"/>
    <x v="7"/>
    <x v="2"/>
    <x v="155"/>
    <d v="2025-07-27T00:00:00"/>
    <n v="2.2000000000000002"/>
    <n v="45"/>
    <x v="1"/>
    <s v="Other Ethnic Group"/>
    <x v="12"/>
    <x v="30"/>
    <s v="Discharged Home"/>
    <s v="No"/>
    <n v="29"/>
    <n v="30"/>
    <n v="0.9667"/>
    <n v="350"/>
    <n v="770"/>
    <s v="RESP-GEN"/>
    <s v="CC-RESPI-08"/>
    <n v="1868.68"/>
    <n v="0.96666666666666667"/>
    <n v="0"/>
    <s v="35-49"/>
    <s v="Short (&lt;3)"/>
    <d v="2025-07-01T00:00:00"/>
    <n v="770.00000000000011"/>
    <s v="Normal"/>
  </r>
  <r>
    <s v="EX20201"/>
    <x v="0"/>
    <x v="0"/>
    <x v="2"/>
    <x v="156"/>
    <d v="2025-02-06T00:00:00"/>
    <n v="5.8"/>
    <n v="38"/>
    <x v="0"/>
    <s v="Other Ethnic Group"/>
    <x v="0"/>
    <x v="1"/>
    <s v="Self-Discharge"/>
    <s v="No"/>
    <n v="27"/>
    <n v="30"/>
    <n v="0.9"/>
    <n v="480"/>
    <n v="2784"/>
    <s v="GENM-GEN"/>
    <s v="CC-GENMED-03"/>
    <n v="1467.32"/>
    <n v="0.9"/>
    <n v="0"/>
    <s v="35-49"/>
    <s v="Medium (3-7)"/>
    <d v="2025-02-01T00:00:00"/>
    <n v="2784"/>
    <s v="Normal"/>
  </r>
  <r>
    <s v="EX20202"/>
    <x v="0"/>
    <x v="0"/>
    <x v="2"/>
    <x v="157"/>
    <d v="2025-01-18T00:00:00"/>
    <n v="8.4"/>
    <n v="45"/>
    <x v="1"/>
    <s v="Not Stated"/>
    <x v="1"/>
    <x v="1"/>
    <s v="Discharged Home"/>
    <s v="No"/>
    <n v="15"/>
    <n v="30"/>
    <n v="0.5"/>
    <n v="375"/>
    <n v="3150"/>
    <s v="ORTH-GEN"/>
    <s v="CC-ORTHO-02"/>
    <n v="6538.51"/>
    <n v="0.5"/>
    <n v="0"/>
    <s v="35-49"/>
    <s v="Long (&gt;7)"/>
    <d v="2025-01-01T00:00:00"/>
    <n v="3150"/>
    <s v="Normal"/>
  </r>
  <r>
    <s v="EX20203"/>
    <x v="6"/>
    <x v="6"/>
    <x v="1"/>
    <x v="103"/>
    <d v="2025-04-21T00:00:00"/>
    <n v="7.5"/>
    <n v="72"/>
    <x v="1"/>
    <s v="Black/African/Caribbean"/>
    <x v="10"/>
    <x v="17"/>
    <s v="Self-Discharge"/>
    <s v="No"/>
    <n v="28"/>
    <n v="30"/>
    <n v="0.93330000000000002"/>
    <n v="450"/>
    <n v="3375"/>
    <s v="EMRG-GEN"/>
    <s v="CC-EMERG-04"/>
    <n v="883.22"/>
    <n v="0.93333333333333335"/>
    <n v="0"/>
    <s v="65-79"/>
    <s v="Long (&gt;7)"/>
    <d v="2025-04-01T00:00:00"/>
    <n v="3375"/>
    <s v="Normal"/>
  </r>
  <r>
    <s v="EX20204"/>
    <x v="4"/>
    <x v="4"/>
    <x v="0"/>
    <x v="158"/>
    <d v="2025-09-07T00:00:00"/>
    <n v="4.5999999999999996"/>
    <n v="85"/>
    <x v="0"/>
    <s v="Other Ethnic Group"/>
    <x v="7"/>
    <x v="20"/>
    <s v="Transfer to Other Trust"/>
    <s v="No"/>
    <n v="15"/>
    <n v="30"/>
    <n v="0.5"/>
    <n v="425"/>
    <n v="1955"/>
    <s v="RESP-GEN"/>
    <s v="CC-RESPI-08"/>
    <n v="3305.55"/>
    <n v="0.5"/>
    <n v="0"/>
    <s v="80+"/>
    <s v="Medium (3-7)"/>
    <d v="2025-09-01T00:00:00"/>
    <n v="1954.9999999999998"/>
    <s v="Normal"/>
  </r>
  <r>
    <s v="EX20205"/>
    <x v="6"/>
    <x v="6"/>
    <x v="2"/>
    <x v="159"/>
    <d v="2025-01-29T00:00:00"/>
    <n v="6.3"/>
    <n v="47"/>
    <x v="0"/>
    <s v="Asian/Asian British"/>
    <x v="10"/>
    <x v="28"/>
    <s v="Discharged Home"/>
    <s v="No"/>
    <n v="17"/>
    <n v="30"/>
    <n v="0.56669999999999998"/>
    <n v="375"/>
    <n v="2362.5"/>
    <s v="CARD-GEN"/>
    <s v="CC-CARDIO-01"/>
    <n v="2125.35"/>
    <n v="0.56666666666666665"/>
    <n v="0"/>
    <s v="35-49"/>
    <s v="Medium (3-7)"/>
    <d v="2025-01-01T00:00:00"/>
    <n v="2362.5"/>
    <s v="Normal"/>
  </r>
  <r>
    <s v="EX20206"/>
    <x v="3"/>
    <x v="3"/>
    <x v="1"/>
    <x v="52"/>
    <d v="2025-04-27T00:00:00"/>
    <n v="6.1"/>
    <n v="86"/>
    <x v="1"/>
    <s v="Other Ethnic Group"/>
    <x v="4"/>
    <x v="25"/>
    <s v="Discharged Home"/>
    <s v="No"/>
    <n v="28"/>
    <n v="30"/>
    <n v="0.93330000000000002"/>
    <n v="425"/>
    <n v="2592.5"/>
    <s v="ORTH-GEN"/>
    <s v="CC-ORTHO-02"/>
    <n v="6896.67"/>
    <n v="0.93333333333333335"/>
    <n v="0"/>
    <s v="80+"/>
    <s v="Medium (3-7)"/>
    <d v="2025-04-01T00:00:00"/>
    <n v="2592.5"/>
    <s v="Normal"/>
  </r>
  <r>
    <s v="EX20207"/>
    <x v="4"/>
    <x v="4"/>
    <x v="1"/>
    <x v="160"/>
    <d v="2025-01-16T00:00:00"/>
    <n v="5"/>
    <n v="69"/>
    <x v="0"/>
    <s v="Other Ethnic Group"/>
    <x v="7"/>
    <x v="20"/>
    <s v="Discharged Home"/>
    <s v="No"/>
    <n v="24"/>
    <n v="30"/>
    <n v="0.8"/>
    <n v="510"/>
    <n v="2550"/>
    <s v="PEDS-GEN"/>
    <s v="CC-PAEDS-06"/>
    <n v="905.87"/>
    <n v="0.8"/>
    <n v="0"/>
    <s v="65-79"/>
    <s v="Medium (3-7)"/>
    <d v="2025-01-01T00:00:00"/>
    <n v="2550"/>
    <s v="Normal"/>
  </r>
  <r>
    <s v="EX20208"/>
    <x v="7"/>
    <x v="7"/>
    <x v="1"/>
    <x v="161"/>
    <d v="2025-02-01T00:00:00"/>
    <n v="10.199999999999999"/>
    <n v="58"/>
    <x v="1"/>
    <s v="Black/African/Caribbean"/>
    <x v="12"/>
    <x v="12"/>
    <s v="Discharged to Community Care"/>
    <s v="No"/>
    <n v="20"/>
    <n v="30"/>
    <n v="0.66669999999999996"/>
    <n v="425"/>
    <n v="4335"/>
    <s v="RESP-GEN"/>
    <s v="CC-RESPI-08"/>
    <n v="1406.22"/>
    <n v="0.66666666666666663"/>
    <n v="0"/>
    <s v="50-64"/>
    <s v="Long (&gt;7)"/>
    <d v="2025-01-01T00:00:00"/>
    <n v="4335"/>
    <s v="Normal"/>
  </r>
  <r>
    <s v="EX20209"/>
    <x v="5"/>
    <x v="5"/>
    <x v="1"/>
    <x v="36"/>
    <d v="2025-03-04T00:00:00"/>
    <n v="0.5"/>
    <n v="46"/>
    <x v="0"/>
    <s v="Mixed/Multiple"/>
    <x v="14"/>
    <x v="29"/>
    <s v="Transfer to Other Trust"/>
    <s v="No"/>
    <n v="24"/>
    <n v="30"/>
    <n v="0.8"/>
    <n v="425"/>
    <n v="212.5"/>
    <s v="ORTH-GEN"/>
    <s v="CC-ORTHO-02"/>
    <n v="2680.08"/>
    <n v="0.8"/>
    <n v="0"/>
    <s v="35-49"/>
    <s v="Short (&lt;3)"/>
    <d v="2025-03-01T00:00:00"/>
    <n v="212.5"/>
    <s v="Normal"/>
  </r>
  <r>
    <s v="EX20210"/>
    <x v="2"/>
    <x v="2"/>
    <x v="1"/>
    <x v="1"/>
    <d v="2025-07-13T00:00:00"/>
    <n v="2.8"/>
    <n v="79"/>
    <x v="1"/>
    <s v="White British"/>
    <x v="3"/>
    <x v="31"/>
    <s v="Discharged Home"/>
    <s v="No"/>
    <n v="28"/>
    <n v="30"/>
    <n v="0.93330000000000002"/>
    <n v="375"/>
    <n v="1050"/>
    <s v="PEDS-GEN"/>
    <s v="CC-PAEDS-06"/>
    <n v="2309.04"/>
    <n v="0.93333333333333335"/>
    <n v="0"/>
    <s v="65-79"/>
    <s v="Short (&lt;3)"/>
    <d v="2025-07-01T00:00:00"/>
    <n v="1050"/>
    <s v="Normal"/>
  </r>
  <r>
    <s v="EX20211"/>
    <x v="1"/>
    <x v="1"/>
    <x v="1"/>
    <x v="143"/>
    <d v="2025-12-05T00:00:00"/>
    <n v="9.6999999999999993"/>
    <n v="56"/>
    <x v="1"/>
    <s v="Black/African/Caribbean"/>
    <x v="13"/>
    <x v="2"/>
    <s v="Discharged Home"/>
    <s v="No"/>
    <n v="22"/>
    <n v="30"/>
    <n v="0.73329999999999995"/>
    <n v="480"/>
    <n v="4656"/>
    <s v="CARD-GEN"/>
    <s v="CC-CARDIO-01"/>
    <n v="3220.87"/>
    <n v="0.73333333333333328"/>
    <n v="0"/>
    <s v="50-64"/>
    <s v="Long (&gt;7)"/>
    <d v="2025-11-01T00:00:00"/>
    <n v="4656"/>
    <s v="Normal"/>
  </r>
  <r>
    <s v="EX20212"/>
    <x v="5"/>
    <x v="5"/>
    <x v="0"/>
    <x v="41"/>
    <d v="2025-08-05T00:00:00"/>
    <n v="0.9"/>
    <n v="72"/>
    <x v="1"/>
    <s v="White British"/>
    <x v="9"/>
    <x v="10"/>
    <s v="Self-Discharge"/>
    <s v="No"/>
    <n v="16"/>
    <n v="30"/>
    <n v="0.5333"/>
    <n v="425"/>
    <n v="382.5"/>
    <s v="ONCO-GEN"/>
    <s v="CC-ONCOL-05"/>
    <n v="4740.8900000000003"/>
    <n v="0.53333333333333333"/>
    <n v="0"/>
    <s v="65-79"/>
    <s v="Short (&lt;3)"/>
    <d v="2025-08-01T00:00:00"/>
    <n v="382.5"/>
    <s v="Normal"/>
  </r>
  <r>
    <s v="EX20213"/>
    <x v="0"/>
    <x v="0"/>
    <x v="1"/>
    <x v="162"/>
    <d v="2025-05-26T00:00:00"/>
    <n v="8.6"/>
    <n v="31"/>
    <x v="0"/>
    <s v="Asian/Asian British"/>
    <x v="1"/>
    <x v="8"/>
    <s v="Self-Discharge"/>
    <s v="No"/>
    <n v="17"/>
    <n v="30"/>
    <n v="0.56669999999999998"/>
    <n v="400"/>
    <n v="3440"/>
    <s v="CARD-GEN"/>
    <s v="CC-CARDIO-01"/>
    <n v="3807.64"/>
    <n v="0.56666666666666665"/>
    <n v="0"/>
    <s v="18-34"/>
    <s v="Long (&gt;7)"/>
    <d v="2025-05-01T00:00:00"/>
    <n v="3440"/>
    <s v="Normal"/>
  </r>
  <r>
    <s v="EX20214"/>
    <x v="0"/>
    <x v="0"/>
    <x v="0"/>
    <x v="163"/>
    <d v="2025-11-20T00:00:00"/>
    <n v="7.7"/>
    <n v="37"/>
    <x v="0"/>
    <s v="Mixed/Multiple"/>
    <x v="1"/>
    <x v="8"/>
    <s v="Discharged to Community Care"/>
    <s v="No"/>
    <n v="28"/>
    <n v="30"/>
    <n v="0.93330000000000002"/>
    <n v="450"/>
    <n v="3465"/>
    <s v="PEDS-GEN"/>
    <s v="CC-PAEDS-06"/>
    <n v="2572.42"/>
    <n v="0.93333333333333335"/>
    <n v="0"/>
    <s v="35-49"/>
    <s v="Long (&gt;7)"/>
    <d v="2025-11-01T00:00:00"/>
    <n v="3465"/>
    <s v="Normal"/>
  </r>
  <r>
    <s v="EX20215"/>
    <x v="2"/>
    <x v="2"/>
    <x v="1"/>
    <x v="164"/>
    <d v="2025-06-03T00:00:00"/>
    <n v="5.5"/>
    <n v="77"/>
    <x v="0"/>
    <s v="Not Stated"/>
    <x v="8"/>
    <x v="13"/>
    <s v="Discharged Home"/>
    <s v="No"/>
    <n v="13"/>
    <n v="30"/>
    <n v="0.43330000000000002"/>
    <n v="400"/>
    <n v="2200"/>
    <s v="NEUR-GEN"/>
    <s v="CC-NEURO-07"/>
    <n v="3368.77"/>
    <n v="0.43333333333333335"/>
    <n v="0"/>
    <s v="65-79"/>
    <s v="Medium (3-7)"/>
    <d v="2025-05-01T00:00:00"/>
    <n v="2200"/>
    <s v="Normal"/>
  </r>
  <r>
    <s v="EX20216"/>
    <x v="0"/>
    <x v="0"/>
    <x v="1"/>
    <x v="139"/>
    <d v="2025-08-21T00:00:00"/>
    <n v="6.1"/>
    <n v="60"/>
    <x v="0"/>
    <s v="Other Ethnic Group"/>
    <x v="0"/>
    <x v="8"/>
    <s v="Discharged Home"/>
    <s v="No"/>
    <n v="17"/>
    <n v="30"/>
    <n v="0.56669999999999998"/>
    <n v="350"/>
    <n v="2135"/>
    <s v="ONCO-GEN"/>
    <s v="CC-ONCOL-05"/>
    <n v="7823.03"/>
    <n v="0.56666666666666665"/>
    <n v="0"/>
    <s v="50-64"/>
    <s v="Medium (3-7)"/>
    <d v="2025-08-01T00:00:00"/>
    <n v="2135"/>
    <s v="Normal"/>
  </r>
  <r>
    <s v="EX20217"/>
    <x v="1"/>
    <x v="1"/>
    <x v="2"/>
    <x v="165"/>
    <d v="2025-05-11T00:00:00"/>
    <n v="10.7"/>
    <n v="68"/>
    <x v="1"/>
    <s v="Asian/Asian British"/>
    <x v="13"/>
    <x v="2"/>
    <s v="Discharged to Community Care"/>
    <s v="No"/>
    <n v="16"/>
    <n v="30"/>
    <n v="0.5333"/>
    <n v="450"/>
    <n v="4815"/>
    <s v="GENM-GEN"/>
    <s v="CC-GENMED-03"/>
    <n v="1223.51"/>
    <n v="0.53333333333333333"/>
    <n v="0"/>
    <s v="65-79"/>
    <s v="Long (&gt;7)"/>
    <d v="2025-05-01T00:00:00"/>
    <n v="4815"/>
    <s v="Normal"/>
  </r>
  <r>
    <s v="EX20218"/>
    <x v="7"/>
    <x v="7"/>
    <x v="1"/>
    <x v="153"/>
    <d v="2025-11-25T00:00:00"/>
    <n v="3.6"/>
    <n v="52"/>
    <x v="0"/>
    <s v="White British"/>
    <x v="12"/>
    <x v="12"/>
    <s v="Discharged Home"/>
    <s v="No"/>
    <n v="17"/>
    <n v="30"/>
    <n v="0.56669999999999998"/>
    <n v="450"/>
    <n v="1620"/>
    <s v="GENM-GEN"/>
    <s v="CC-GENMED-03"/>
    <n v="1715.72"/>
    <n v="0.56666666666666665"/>
    <n v="0"/>
    <s v="50-64"/>
    <s v="Medium (3-7)"/>
    <d v="2025-11-01T00:00:00"/>
    <n v="1620"/>
    <s v="Normal"/>
  </r>
  <r>
    <s v="EX20219"/>
    <x v="2"/>
    <x v="2"/>
    <x v="1"/>
    <x v="157"/>
    <d v="2025-01-13T00:00:00"/>
    <n v="3.7"/>
    <n v="31"/>
    <x v="1"/>
    <s v="Other Ethnic Group"/>
    <x v="8"/>
    <x v="3"/>
    <s v="Transfer to Other Trust"/>
    <s v="No"/>
    <n v="12"/>
    <n v="30"/>
    <n v="0.4"/>
    <n v="400"/>
    <n v="1480"/>
    <s v="CARD-GEN"/>
    <s v="CC-CARDIO-01"/>
    <n v="1890.67"/>
    <n v="0.4"/>
    <n v="0"/>
    <s v="18-34"/>
    <s v="Medium (3-7)"/>
    <d v="2025-01-01T00:00:00"/>
    <n v="1480"/>
    <s v="Normal"/>
  </r>
  <r>
    <s v="EX20220"/>
    <x v="6"/>
    <x v="6"/>
    <x v="0"/>
    <x v="166"/>
    <d v="2025-04-04T00:00:00"/>
    <n v="6.6"/>
    <n v="22"/>
    <x v="1"/>
    <s v="Not Stated"/>
    <x v="15"/>
    <x v="14"/>
    <s v="Discharged Home"/>
    <s v="No"/>
    <n v="21"/>
    <n v="30"/>
    <n v="0.7"/>
    <n v="350"/>
    <n v="2310"/>
    <s v="NEUR-GEN"/>
    <s v="CC-NEURO-07"/>
    <n v="1250.23"/>
    <n v="0.7"/>
    <n v="0"/>
    <s v="18-34"/>
    <s v="Medium (3-7)"/>
    <d v="2025-03-01T00:00:00"/>
    <n v="2310"/>
    <s v="Normal"/>
  </r>
  <r>
    <s v="EX20221"/>
    <x v="4"/>
    <x v="4"/>
    <x v="2"/>
    <x v="38"/>
    <d v="2025-05-22T00:00:00"/>
    <n v="1.5"/>
    <n v="82"/>
    <x v="1"/>
    <s v="Not Stated"/>
    <x v="6"/>
    <x v="20"/>
    <s v="Self-Discharge"/>
    <s v="No"/>
    <n v="30"/>
    <n v="30"/>
    <n v="1"/>
    <n v="450"/>
    <n v="675"/>
    <s v="CARD-GEN"/>
    <s v="CC-CARDIO-01"/>
    <n v="1676"/>
    <n v="1"/>
    <n v="0"/>
    <s v="80+"/>
    <s v="Short (&lt;3)"/>
    <d v="2025-05-01T00:00:00"/>
    <n v="675"/>
    <s v="Normal"/>
  </r>
  <r>
    <s v="EX20222"/>
    <x v="2"/>
    <x v="2"/>
    <x v="0"/>
    <x v="167"/>
    <d v="2025-05-16T00:00:00"/>
    <n v="2.6"/>
    <n v="63"/>
    <x v="1"/>
    <s v="Mixed/Multiple"/>
    <x v="8"/>
    <x v="31"/>
    <s v="Discharged to Community Care"/>
    <s v="No"/>
    <n v="22"/>
    <n v="30"/>
    <n v="0.73329999999999995"/>
    <n v="400"/>
    <n v="1040"/>
    <s v="CARD-GEN"/>
    <s v="CC-CARDIO-01"/>
    <n v="2518.02"/>
    <n v="0.73333333333333328"/>
    <n v="0"/>
    <s v="50-64"/>
    <s v="Short (&lt;3)"/>
    <d v="2025-05-01T00:00:00"/>
    <n v="1040"/>
    <s v="Normal"/>
  </r>
  <r>
    <s v="EX20223"/>
    <x v="0"/>
    <x v="0"/>
    <x v="1"/>
    <x v="168"/>
    <d v="2025-12-15T00:00:00"/>
    <n v="2.4"/>
    <n v="64"/>
    <x v="1"/>
    <s v="Mixed/Multiple"/>
    <x v="1"/>
    <x v="0"/>
    <s v="Discharged Home"/>
    <s v="No"/>
    <n v="28"/>
    <n v="30"/>
    <n v="0.93330000000000002"/>
    <n v="425"/>
    <n v="1020"/>
    <s v="PEDS-GEN"/>
    <s v="CC-PAEDS-06"/>
    <n v="1038.26"/>
    <n v="0.93333333333333335"/>
    <n v="0"/>
    <s v="50-64"/>
    <s v="Short (&lt;3)"/>
    <d v="2025-12-01T00:00:00"/>
    <n v="1020"/>
    <s v="Normal"/>
  </r>
  <r>
    <s v="EX20224"/>
    <x v="3"/>
    <x v="3"/>
    <x v="2"/>
    <x v="22"/>
    <d v="2025-06-12T00:00:00"/>
    <n v="2"/>
    <n v="70"/>
    <x v="0"/>
    <s v="White British"/>
    <x v="4"/>
    <x v="25"/>
    <s v="Transfer to Other Trust"/>
    <s v="No"/>
    <n v="26"/>
    <n v="30"/>
    <n v="0.86670000000000003"/>
    <n v="510"/>
    <n v="1020"/>
    <s v="EMRG-GEN"/>
    <s v="CC-EMERG-04"/>
    <n v="1107.48"/>
    <n v="0.8666666666666667"/>
    <n v="0"/>
    <s v="65-79"/>
    <s v="Short (&lt;3)"/>
    <d v="2025-06-01T00:00:00"/>
    <n v="1020"/>
    <s v="Normal"/>
  </r>
  <r>
    <s v="EX20225"/>
    <x v="4"/>
    <x v="4"/>
    <x v="1"/>
    <x v="14"/>
    <d v="2025-08-06T00:00:00"/>
    <n v="4.5"/>
    <n v="74"/>
    <x v="0"/>
    <s v="White British"/>
    <x v="6"/>
    <x v="7"/>
    <s v="Transfer to Other Trust"/>
    <s v="No"/>
    <n v="16"/>
    <n v="30"/>
    <n v="0.5333"/>
    <n v="425"/>
    <n v="1912.5"/>
    <s v="ONCO-GEN"/>
    <s v="CC-ONCOL-05"/>
    <n v="5415.87"/>
    <n v="0.53333333333333333"/>
    <n v="0"/>
    <s v="65-79"/>
    <s v="Medium (3-7)"/>
    <d v="2025-08-01T00:00:00"/>
    <n v="1912.5"/>
    <s v="Normal"/>
  </r>
  <r>
    <s v="EX20226"/>
    <x v="7"/>
    <x v="7"/>
    <x v="1"/>
    <x v="60"/>
    <d v="2025-12-20T00:00:00"/>
    <n v="2.5"/>
    <n v="49"/>
    <x v="1"/>
    <s v="White British"/>
    <x v="12"/>
    <x v="19"/>
    <s v="Discharged Home"/>
    <s v="No"/>
    <n v="18"/>
    <n v="30"/>
    <n v="0.6"/>
    <n v="425"/>
    <n v="1062.5"/>
    <s v="GENM-GEN"/>
    <s v="CC-GENMED-03"/>
    <n v="1779.31"/>
    <n v="0.6"/>
    <n v="0"/>
    <s v="35-49"/>
    <s v="Short (&lt;3)"/>
    <d v="2025-12-01T00:00:00"/>
    <n v="1062.5"/>
    <s v="Normal"/>
  </r>
  <r>
    <s v="EX20227"/>
    <x v="7"/>
    <x v="7"/>
    <x v="0"/>
    <x v="167"/>
    <d v="2025-05-19T00:00:00"/>
    <n v="5.8"/>
    <n v="46"/>
    <x v="0"/>
    <s v="White British"/>
    <x v="12"/>
    <x v="30"/>
    <s v="Discharged Home"/>
    <s v="No"/>
    <n v="26"/>
    <n v="30"/>
    <n v="0.86670000000000003"/>
    <n v="480"/>
    <n v="2784"/>
    <s v="RESP-GEN"/>
    <s v="CC-RESPI-08"/>
    <n v="2705.35"/>
    <n v="0.8666666666666667"/>
    <n v="0"/>
    <s v="35-49"/>
    <s v="Medium (3-7)"/>
    <d v="2025-05-01T00:00:00"/>
    <n v="2784"/>
    <s v="Normal"/>
  </r>
  <r>
    <s v="EX20228"/>
    <x v="0"/>
    <x v="0"/>
    <x v="1"/>
    <x v="20"/>
    <d v="2025-01-31T00:00:00"/>
    <n v="3.8"/>
    <n v="56"/>
    <x v="0"/>
    <s v="White British"/>
    <x v="0"/>
    <x v="0"/>
    <s v="Discharged Home"/>
    <s v="No"/>
    <n v="13"/>
    <n v="30"/>
    <n v="0.43330000000000002"/>
    <n v="425"/>
    <n v="1615"/>
    <s v="CARD-GEN"/>
    <s v="CC-CARDIO-01"/>
    <n v="1905.52"/>
    <n v="0.43333333333333335"/>
    <n v="0"/>
    <s v="50-64"/>
    <s v="Medium (3-7)"/>
    <d v="2025-01-01T00:00:00"/>
    <n v="1615"/>
    <s v="Normal"/>
  </r>
  <r>
    <s v="EX20229"/>
    <x v="6"/>
    <x v="6"/>
    <x v="2"/>
    <x v="0"/>
    <d v="2025-04-18T00:00:00"/>
    <n v="5.8"/>
    <n v="84"/>
    <x v="0"/>
    <s v="Black/African/Caribbean"/>
    <x v="15"/>
    <x v="14"/>
    <s v="Transfer to Other Trust"/>
    <s v="No"/>
    <n v="24"/>
    <n v="30"/>
    <n v="0.8"/>
    <n v="350"/>
    <n v="2030"/>
    <s v="NEUR-GEN"/>
    <s v="CC-NEURO-07"/>
    <n v="3033.98"/>
    <n v="0.8"/>
    <n v="0"/>
    <s v="80+"/>
    <s v="Medium (3-7)"/>
    <d v="2025-04-01T00:00:00"/>
    <n v="2030"/>
    <s v="Normal"/>
  </r>
  <r>
    <s v="EX20230"/>
    <x v="6"/>
    <x v="6"/>
    <x v="0"/>
    <x v="125"/>
    <d v="2025-09-08T00:00:00"/>
    <n v="2.2000000000000002"/>
    <n v="60"/>
    <x v="0"/>
    <s v="Not Stated"/>
    <x v="15"/>
    <x v="17"/>
    <s v="Discharged Home"/>
    <s v="No"/>
    <n v="24"/>
    <n v="30"/>
    <n v="0.8"/>
    <n v="375"/>
    <n v="825"/>
    <s v="EMRG-GEN"/>
    <s v="CC-EMERG-04"/>
    <n v="1142.43"/>
    <n v="0.8"/>
    <n v="0"/>
    <s v="50-64"/>
    <s v="Short (&lt;3)"/>
    <d v="2025-09-01T00:00:00"/>
    <n v="825.00000000000011"/>
    <s v="Normal"/>
  </r>
  <r>
    <s v="EX20231"/>
    <x v="0"/>
    <x v="0"/>
    <x v="1"/>
    <x v="169"/>
    <d v="2025-04-28T00:00:00"/>
    <n v="8.5"/>
    <n v="36"/>
    <x v="0"/>
    <s v="Not Stated"/>
    <x v="0"/>
    <x v="8"/>
    <s v="Discharged Home"/>
    <s v="No"/>
    <n v="16"/>
    <n v="30"/>
    <n v="0.5333"/>
    <n v="350"/>
    <n v="2975"/>
    <s v="EMRG-GEN"/>
    <s v="CC-EMERG-04"/>
    <n v="316.63"/>
    <n v="0.53333333333333333"/>
    <n v="0"/>
    <s v="35-49"/>
    <s v="Long (&gt;7)"/>
    <d v="2025-04-01T00:00:00"/>
    <n v="2975"/>
    <s v="Normal"/>
  </r>
  <r>
    <s v="EX20232"/>
    <x v="2"/>
    <x v="2"/>
    <x v="1"/>
    <x v="25"/>
    <d v="2025-05-16T00:00:00"/>
    <n v="5.6"/>
    <n v="28"/>
    <x v="0"/>
    <s v="Other Ethnic Group"/>
    <x v="3"/>
    <x v="13"/>
    <s v="Discharged Home"/>
    <s v="No"/>
    <n v="19"/>
    <n v="30"/>
    <n v="0.63329999999999997"/>
    <n v="510"/>
    <n v="2856"/>
    <s v="ORTH-GEN"/>
    <s v="CC-ORTHO-02"/>
    <n v="5463.18"/>
    <n v="0.6333333333333333"/>
    <n v="0"/>
    <s v="18-34"/>
    <s v="Medium (3-7)"/>
    <d v="2025-05-01T00:00:00"/>
    <n v="2856"/>
    <s v="Normal"/>
  </r>
  <r>
    <s v="EX20233"/>
    <x v="6"/>
    <x v="6"/>
    <x v="1"/>
    <x v="104"/>
    <d v="2025-07-25T00:00:00"/>
    <n v="5.0999999999999996"/>
    <n v="57"/>
    <x v="0"/>
    <s v="Black/African/Caribbean"/>
    <x v="15"/>
    <x v="28"/>
    <s v="Discharged Home"/>
    <s v="No"/>
    <n v="13"/>
    <n v="30"/>
    <n v="0.43330000000000002"/>
    <n v="450"/>
    <n v="2295"/>
    <s v="RESP-GEN"/>
    <s v="CC-RESPI-08"/>
    <n v="2586.62"/>
    <n v="0.43333333333333335"/>
    <n v="0"/>
    <s v="50-64"/>
    <s v="Medium (3-7)"/>
    <d v="2025-07-01T00:00:00"/>
    <n v="2295"/>
    <s v="Normal"/>
  </r>
  <r>
    <s v="EX20234"/>
    <x v="7"/>
    <x v="7"/>
    <x v="1"/>
    <x v="167"/>
    <d v="2025-05-19T00:00:00"/>
    <n v="5.7"/>
    <n v="19"/>
    <x v="1"/>
    <s v="Asian/Asian British"/>
    <x v="12"/>
    <x v="30"/>
    <s v="Discharged Home"/>
    <s v="Yes"/>
    <n v="27"/>
    <n v="30"/>
    <n v="0.9"/>
    <n v="350"/>
    <n v="1995"/>
    <s v="GENM-GEN"/>
    <s v="CC-GENMED-03"/>
    <n v="2472.36"/>
    <n v="0.9"/>
    <n v="1"/>
    <s v="18-34"/>
    <s v="Medium (3-7)"/>
    <d v="2025-05-01T00:00:00"/>
    <n v="1995"/>
    <s v="Normal"/>
  </r>
  <r>
    <s v="EX20235"/>
    <x v="2"/>
    <x v="2"/>
    <x v="0"/>
    <x v="170"/>
    <d v="2025-06-30T00:00:00"/>
    <n v="3.7"/>
    <n v="51"/>
    <x v="0"/>
    <s v="White British"/>
    <x v="8"/>
    <x v="31"/>
    <s v="Discharged Home"/>
    <s v="No"/>
    <n v="27"/>
    <n v="30"/>
    <n v="0.9"/>
    <n v="400"/>
    <n v="1480"/>
    <s v="ONCO-GEN"/>
    <s v="CC-ONCOL-05"/>
    <n v="7404.97"/>
    <n v="0.9"/>
    <n v="0"/>
    <s v="50-64"/>
    <s v="Medium (3-7)"/>
    <d v="2025-06-01T00:00:00"/>
    <n v="1480"/>
    <s v="Normal"/>
  </r>
  <r>
    <s v="EX20236"/>
    <x v="1"/>
    <x v="1"/>
    <x v="2"/>
    <x v="171"/>
    <d v="2025-08-25T00:00:00"/>
    <n v="9.4"/>
    <n v="38"/>
    <x v="0"/>
    <s v="Other Ethnic Group"/>
    <x v="13"/>
    <x v="21"/>
    <s v="Discharged to Community Care"/>
    <s v="No"/>
    <n v="16"/>
    <n v="30"/>
    <n v="0.5333"/>
    <n v="350"/>
    <n v="3290"/>
    <s v="ONCO-GEN"/>
    <s v="CC-ONCOL-05"/>
    <n v="2565.8000000000002"/>
    <n v="0.53333333333333333"/>
    <n v="0"/>
    <s v="35-49"/>
    <s v="Long (&gt;7)"/>
    <d v="2025-08-01T00:00:00"/>
    <n v="3290"/>
    <s v="Normal"/>
  </r>
  <r>
    <s v="EX20237"/>
    <x v="5"/>
    <x v="5"/>
    <x v="2"/>
    <x v="172"/>
    <d v="2025-05-17T00:00:00"/>
    <n v="1.4"/>
    <n v="79"/>
    <x v="1"/>
    <s v="Mixed/Multiple"/>
    <x v="9"/>
    <x v="29"/>
    <s v="Self-Discharge"/>
    <s v="No"/>
    <n v="25"/>
    <n v="30"/>
    <n v="0.83330000000000004"/>
    <n v="375"/>
    <n v="525"/>
    <s v="PEDS-GEN"/>
    <s v="CC-PAEDS-06"/>
    <n v="1193.05"/>
    <n v="0.83333333333333337"/>
    <n v="0"/>
    <s v="65-79"/>
    <s v="Short (&lt;3)"/>
    <d v="2025-05-01T00:00:00"/>
    <n v="525"/>
    <s v="Normal"/>
  </r>
  <r>
    <s v="EX20238"/>
    <x v="3"/>
    <x v="3"/>
    <x v="0"/>
    <x v="0"/>
    <d v="2025-04-17T00:00:00"/>
    <n v="4.5999999999999996"/>
    <n v="25"/>
    <x v="1"/>
    <s v="Not Stated"/>
    <x v="5"/>
    <x v="26"/>
    <s v="Discharged Home"/>
    <s v="No"/>
    <n v="28"/>
    <n v="30"/>
    <n v="0.93330000000000002"/>
    <n v="480"/>
    <n v="2208"/>
    <s v="ORTH-GEN"/>
    <s v="CC-ORTHO-02"/>
    <n v="3922.34"/>
    <n v="0.93333333333333335"/>
    <n v="0"/>
    <s v="18-34"/>
    <s v="Medium (3-7)"/>
    <d v="2025-04-01T00:00:00"/>
    <n v="2208"/>
    <s v="Normal"/>
  </r>
  <r>
    <s v="EX20239"/>
    <x v="1"/>
    <x v="1"/>
    <x v="1"/>
    <x v="17"/>
    <d v="2025-08-02T00:00:00"/>
    <n v="10.4"/>
    <n v="32"/>
    <x v="1"/>
    <s v="Asian/Asian British"/>
    <x v="2"/>
    <x v="16"/>
    <s v="Self-Discharge"/>
    <s v="No"/>
    <n v="17"/>
    <n v="30"/>
    <n v="0.56669999999999998"/>
    <n v="375"/>
    <n v="3900"/>
    <s v="EMRG-GEN"/>
    <s v="CC-EMERG-04"/>
    <n v="1139.75"/>
    <n v="0.56666666666666665"/>
    <n v="0"/>
    <s v="18-34"/>
    <s v="Long (&gt;7)"/>
    <d v="2025-07-01T00:00:00"/>
    <n v="3900"/>
    <s v="Normal"/>
  </r>
  <r>
    <s v="EX20240"/>
    <x v="6"/>
    <x v="6"/>
    <x v="1"/>
    <x v="173"/>
    <d v="2025-03-14T00:00:00"/>
    <n v="3.9"/>
    <n v="52"/>
    <x v="1"/>
    <s v="Not Stated"/>
    <x v="10"/>
    <x v="11"/>
    <s v="Discharged to Community Care"/>
    <s v="No"/>
    <n v="24"/>
    <n v="30"/>
    <n v="0.8"/>
    <n v="400"/>
    <n v="1560"/>
    <s v="GENM-GEN"/>
    <s v="CC-GENMED-03"/>
    <n v="2055.06"/>
    <n v="0.8"/>
    <n v="0"/>
    <s v="50-64"/>
    <s v="Medium (3-7)"/>
    <d v="2025-03-01T00:00:00"/>
    <n v="1560"/>
    <s v="Normal"/>
  </r>
  <r>
    <s v="EX20241"/>
    <x v="4"/>
    <x v="4"/>
    <x v="1"/>
    <x v="174"/>
    <d v="2025-07-26T00:00:00"/>
    <n v="2.8"/>
    <n v="21"/>
    <x v="1"/>
    <s v="White British"/>
    <x v="7"/>
    <x v="7"/>
    <s v="Discharged Home"/>
    <s v="No"/>
    <n v="22"/>
    <n v="30"/>
    <n v="0.73329999999999995"/>
    <n v="450"/>
    <n v="1260"/>
    <s v="PEDS-GEN"/>
    <s v="CC-PAEDS-06"/>
    <n v="1618.99"/>
    <n v="0.73333333333333328"/>
    <n v="0"/>
    <s v="18-34"/>
    <s v="Short (&lt;3)"/>
    <d v="2025-07-01T00:00:00"/>
    <n v="1260"/>
    <s v="Normal"/>
  </r>
  <r>
    <s v="EX20242"/>
    <x v="4"/>
    <x v="4"/>
    <x v="1"/>
    <x v="175"/>
    <d v="2025-05-12T00:00:00"/>
    <n v="2.8"/>
    <n v="31"/>
    <x v="1"/>
    <s v="White British"/>
    <x v="6"/>
    <x v="6"/>
    <s v="Discharged Home"/>
    <s v="Yes"/>
    <n v="30"/>
    <n v="30"/>
    <n v="1"/>
    <n v="450"/>
    <n v="1260"/>
    <s v="ORTH-GEN"/>
    <s v="CC-ORTHO-02"/>
    <n v="3209.86"/>
    <n v="1"/>
    <n v="1"/>
    <s v="18-34"/>
    <s v="Short (&lt;3)"/>
    <d v="2025-05-01T00:00:00"/>
    <n v="1260"/>
    <s v="Normal"/>
  </r>
  <r>
    <s v="EX20243"/>
    <x v="4"/>
    <x v="4"/>
    <x v="0"/>
    <x v="116"/>
    <d v="2025-05-03T00:00:00"/>
    <n v="4.0999999999999996"/>
    <n v="84"/>
    <x v="1"/>
    <s v="Asian/Asian British"/>
    <x v="7"/>
    <x v="9"/>
    <s v="Self-Discharge"/>
    <s v="No"/>
    <n v="22"/>
    <n v="30"/>
    <n v="0.73329999999999995"/>
    <n v="375"/>
    <n v="1537.5"/>
    <s v="ORTH-GEN"/>
    <s v="CC-ORTHO-02"/>
    <n v="2237.14"/>
    <n v="0.73333333333333328"/>
    <n v="0"/>
    <s v="80+"/>
    <s v="Medium (3-7)"/>
    <d v="2025-04-01T00:00:00"/>
    <n v="1537.4999999999998"/>
    <s v="Normal"/>
  </r>
  <r>
    <s v="EX20244"/>
    <x v="0"/>
    <x v="0"/>
    <x v="1"/>
    <x v="176"/>
    <d v="2025-12-09T00:00:00"/>
    <n v="7.8"/>
    <n v="51"/>
    <x v="0"/>
    <s v="White British"/>
    <x v="0"/>
    <x v="0"/>
    <s v="Transfer to Other Trust"/>
    <s v="No"/>
    <n v="30"/>
    <n v="30"/>
    <n v="1"/>
    <n v="400"/>
    <n v="3120"/>
    <s v="GENM-GEN"/>
    <s v="CC-GENMED-03"/>
    <n v="2166.3200000000002"/>
    <n v="1"/>
    <n v="0"/>
    <s v="50-64"/>
    <s v="Long (&gt;7)"/>
    <d v="2025-12-01T00:00:00"/>
    <n v="3120"/>
    <s v="Normal"/>
  </r>
  <r>
    <s v="EX20245"/>
    <x v="2"/>
    <x v="2"/>
    <x v="1"/>
    <x v="109"/>
    <d v="2025-08-09T00:00:00"/>
    <n v="3.5"/>
    <n v="22"/>
    <x v="1"/>
    <s v="White British"/>
    <x v="8"/>
    <x v="13"/>
    <s v="Discharged to Community Care"/>
    <s v="No"/>
    <n v="23"/>
    <n v="30"/>
    <n v="0.76670000000000005"/>
    <n v="425"/>
    <n v="1487.5"/>
    <s v="GENM-GEN"/>
    <s v="CC-GENMED-03"/>
    <n v="1284.08"/>
    <n v="0.76666666666666672"/>
    <n v="0"/>
    <s v="18-34"/>
    <s v="Medium (3-7)"/>
    <d v="2025-08-01T00:00:00"/>
    <n v="1487.5"/>
    <s v="Normal"/>
  </r>
  <r>
    <s v="EX20246"/>
    <x v="6"/>
    <x v="6"/>
    <x v="0"/>
    <x v="163"/>
    <d v="2025-11-15T00:00:00"/>
    <n v="2.8"/>
    <n v="51"/>
    <x v="0"/>
    <s v="White British"/>
    <x v="10"/>
    <x v="11"/>
    <s v="Discharged Home"/>
    <s v="Yes"/>
    <n v="12"/>
    <n v="30"/>
    <n v="0.4"/>
    <n v="480"/>
    <n v="1344"/>
    <s v="GENM-GEN"/>
    <s v="CC-GENMED-03"/>
    <n v="1319.89"/>
    <n v="0.4"/>
    <n v="1"/>
    <s v="50-64"/>
    <s v="Short (&lt;3)"/>
    <d v="2025-11-01T00:00:00"/>
    <n v="1344"/>
    <s v="Normal"/>
  </r>
  <r>
    <s v="EX20247"/>
    <x v="6"/>
    <x v="6"/>
    <x v="0"/>
    <x v="60"/>
    <d v="2025-12-20T00:00:00"/>
    <n v="2.7"/>
    <n v="62"/>
    <x v="0"/>
    <s v="Mixed/Multiple"/>
    <x v="15"/>
    <x v="11"/>
    <s v="Discharged Home"/>
    <s v="Yes"/>
    <n v="18"/>
    <n v="30"/>
    <n v="0.6"/>
    <n v="425"/>
    <n v="1147.5"/>
    <s v="ORTH-GEN"/>
    <s v="CC-ORTHO-02"/>
    <n v="2762.3"/>
    <n v="0.6"/>
    <n v="1"/>
    <s v="50-64"/>
    <s v="Short (&lt;3)"/>
    <d v="2025-12-01T00:00:00"/>
    <n v="1147.5"/>
    <s v="Normal"/>
  </r>
  <r>
    <s v="EX20248"/>
    <x v="2"/>
    <x v="2"/>
    <x v="0"/>
    <x v="132"/>
    <d v="2025-03-06T00:00:00"/>
    <n v="4.5"/>
    <n v="32"/>
    <x v="0"/>
    <s v="Other Ethnic Group"/>
    <x v="8"/>
    <x v="31"/>
    <s v="Discharged to Community Care"/>
    <s v="Yes"/>
    <n v="17"/>
    <n v="30"/>
    <n v="0.56669999999999998"/>
    <n v="425"/>
    <n v="1912.5"/>
    <s v="CARD-GEN"/>
    <s v="CC-CARDIO-01"/>
    <n v="4496.8999999999996"/>
    <n v="0.56666666666666665"/>
    <n v="1"/>
    <s v="18-34"/>
    <s v="Medium (3-7)"/>
    <d v="2025-03-01T00:00:00"/>
    <n v="1912.5"/>
    <s v="Normal"/>
  </r>
  <r>
    <s v="EX20249"/>
    <x v="2"/>
    <x v="2"/>
    <x v="2"/>
    <x v="177"/>
    <d v="2025-07-17T00:00:00"/>
    <n v="3.6"/>
    <n v="50"/>
    <x v="1"/>
    <s v="White British"/>
    <x v="3"/>
    <x v="31"/>
    <s v="Discharged Home"/>
    <s v="No"/>
    <n v="30"/>
    <n v="30"/>
    <n v="1"/>
    <n v="450"/>
    <n v="1620"/>
    <s v="NEUR-GEN"/>
    <s v="CC-NEURO-07"/>
    <n v="3253.95"/>
    <n v="1"/>
    <n v="0"/>
    <s v="50-64"/>
    <s v="Medium (3-7)"/>
    <d v="2025-07-01T00:00:00"/>
    <n v="1620"/>
    <s v="Normal"/>
  </r>
  <r>
    <s v="EX20250"/>
    <x v="6"/>
    <x v="6"/>
    <x v="0"/>
    <x v="178"/>
    <d v="2025-06-11T00:00:00"/>
    <n v="7.2"/>
    <n v="33"/>
    <x v="1"/>
    <s v="White British"/>
    <x v="15"/>
    <x v="14"/>
    <s v="Discharged Home"/>
    <s v="No"/>
    <n v="20"/>
    <n v="30"/>
    <n v="0.66669999999999996"/>
    <n v="510"/>
    <n v="3672"/>
    <s v="GENM-GEN"/>
    <s v="CC-GENMED-03"/>
    <n v="2755.6"/>
    <n v="0.66666666666666663"/>
    <n v="0"/>
    <s v="18-34"/>
    <s v="Long (&gt;7)"/>
    <d v="2025-06-01T00:00:00"/>
    <n v="3672"/>
    <s v="Normal"/>
  </r>
  <r>
    <s v="EX20251"/>
    <x v="3"/>
    <x v="3"/>
    <x v="1"/>
    <x v="106"/>
    <d v="2025-03-23T00:00:00"/>
    <n v="5.4"/>
    <n v="39"/>
    <x v="1"/>
    <s v="Black/African/Caribbean"/>
    <x v="4"/>
    <x v="25"/>
    <s v="Discharged Home"/>
    <s v="No"/>
    <n v="14"/>
    <n v="30"/>
    <n v="0.4667"/>
    <n v="450"/>
    <n v="2430"/>
    <s v="PEDS-GEN"/>
    <s v="CC-PAEDS-06"/>
    <n v="646.77"/>
    <n v="0.46666666666666667"/>
    <n v="0"/>
    <s v="35-49"/>
    <s v="Medium (3-7)"/>
    <d v="2025-03-01T00:00:00"/>
    <n v="2430"/>
    <s v="Normal"/>
  </r>
  <r>
    <s v="EX20252"/>
    <x v="3"/>
    <x v="3"/>
    <x v="0"/>
    <x v="136"/>
    <d v="2025-07-22T00:00:00"/>
    <n v="4.2"/>
    <n v="29"/>
    <x v="0"/>
    <s v="White British"/>
    <x v="5"/>
    <x v="5"/>
    <s v="Discharged Home"/>
    <s v="No"/>
    <n v="20"/>
    <n v="30"/>
    <n v="0.66669999999999996"/>
    <n v="425"/>
    <n v="1785"/>
    <s v="EMRG-GEN"/>
    <s v="CC-EMERG-04"/>
    <n v="1027.44"/>
    <n v="0.66666666666666663"/>
    <n v="0"/>
    <s v="18-34"/>
    <s v="Medium (3-7)"/>
    <d v="2025-07-01T00:00:00"/>
    <n v="1785"/>
    <s v="Normal"/>
  </r>
  <r>
    <s v="EX20253"/>
    <x v="6"/>
    <x v="6"/>
    <x v="1"/>
    <x v="179"/>
    <d v="2025-07-09T00:00:00"/>
    <n v="3.9"/>
    <n v="71"/>
    <x v="0"/>
    <s v="Not Stated"/>
    <x v="10"/>
    <x v="14"/>
    <s v="Discharged Home"/>
    <s v="No"/>
    <n v="18"/>
    <n v="30"/>
    <n v="0.6"/>
    <n v="510"/>
    <n v="1989"/>
    <s v="GENM-GEN"/>
    <s v="CC-GENMED-03"/>
    <n v="1031.04"/>
    <n v="0.6"/>
    <n v="0"/>
    <s v="65-79"/>
    <s v="Medium (3-7)"/>
    <d v="2025-07-01T00:00:00"/>
    <n v="1989"/>
    <s v="Normal"/>
  </r>
  <r>
    <s v="EX20254"/>
    <x v="6"/>
    <x v="6"/>
    <x v="1"/>
    <x v="91"/>
    <d v="2025-06-21T00:00:00"/>
    <n v="2.4"/>
    <n v="82"/>
    <x v="1"/>
    <s v="Black/African/Caribbean"/>
    <x v="15"/>
    <x v="14"/>
    <s v="Discharged Home"/>
    <s v="No"/>
    <n v="21"/>
    <n v="30"/>
    <n v="0.7"/>
    <n v="510"/>
    <n v="1224"/>
    <s v="PEDS-GEN"/>
    <s v="CC-PAEDS-06"/>
    <n v="1098.9000000000001"/>
    <n v="0.7"/>
    <n v="0"/>
    <s v="80+"/>
    <s v="Short (&lt;3)"/>
    <d v="2025-06-01T00:00:00"/>
    <n v="1224"/>
    <s v="Normal"/>
  </r>
  <r>
    <s v="EX20255"/>
    <x v="5"/>
    <x v="5"/>
    <x v="1"/>
    <x v="180"/>
    <d v="2025-02-23T00:00:00"/>
    <n v="2.2999999999999998"/>
    <n v="38"/>
    <x v="0"/>
    <s v="Black/African/Caribbean"/>
    <x v="14"/>
    <x v="29"/>
    <s v="Discharged Home"/>
    <s v="No"/>
    <n v="26"/>
    <n v="30"/>
    <n v="0.86670000000000003"/>
    <n v="480"/>
    <n v="1104"/>
    <s v="CARD-GEN"/>
    <s v="CC-CARDIO-01"/>
    <n v="1200.1199999999999"/>
    <n v="0.8666666666666667"/>
    <n v="0"/>
    <s v="35-49"/>
    <s v="Short (&lt;3)"/>
    <d v="2025-02-01T00:00:00"/>
    <n v="1104"/>
    <s v="Normal"/>
  </r>
  <r>
    <s v="EX20256"/>
    <x v="3"/>
    <x v="3"/>
    <x v="1"/>
    <x v="142"/>
    <d v="2025-12-29T00:00:00"/>
    <n v="3.5"/>
    <n v="20"/>
    <x v="1"/>
    <s v="Mixed/Multiple"/>
    <x v="4"/>
    <x v="25"/>
    <s v="Discharged Home"/>
    <s v="Yes"/>
    <n v="14"/>
    <n v="30"/>
    <n v="0.4667"/>
    <n v="375"/>
    <n v="1312.5"/>
    <s v="PEDS-GEN"/>
    <s v="CC-PAEDS-06"/>
    <n v="1728.21"/>
    <n v="0.46666666666666667"/>
    <n v="1"/>
    <s v="18-34"/>
    <s v="Medium (3-7)"/>
    <d v="2025-12-01T00:00:00"/>
    <n v="1312.5"/>
    <s v="Normal"/>
  </r>
  <r>
    <s v="EX20257"/>
    <x v="2"/>
    <x v="2"/>
    <x v="0"/>
    <x v="24"/>
    <d v="2025-11-15T00:00:00"/>
    <n v="6.8"/>
    <n v="40"/>
    <x v="1"/>
    <s v="White British"/>
    <x v="3"/>
    <x v="31"/>
    <s v="Transfer to Other Trust"/>
    <s v="No"/>
    <n v="16"/>
    <n v="30"/>
    <n v="0.5333"/>
    <n v="480"/>
    <n v="3264"/>
    <s v="NEUR-GEN"/>
    <s v="CC-NEURO-07"/>
    <n v="3157.1"/>
    <n v="0.53333333333333333"/>
    <n v="0"/>
    <s v="35-49"/>
    <s v="Medium (3-7)"/>
    <d v="2025-11-01T00:00:00"/>
    <n v="3264"/>
    <s v="Normal"/>
  </r>
  <r>
    <s v="EX20258"/>
    <x v="3"/>
    <x v="3"/>
    <x v="1"/>
    <x v="181"/>
    <d v="2025-06-22T00:00:00"/>
    <n v="2.7"/>
    <n v="46"/>
    <x v="0"/>
    <s v="Mixed/Multiple"/>
    <x v="5"/>
    <x v="26"/>
    <s v="Discharged Home"/>
    <s v="No"/>
    <n v="23"/>
    <n v="30"/>
    <n v="0.76670000000000005"/>
    <n v="450"/>
    <n v="1215"/>
    <s v="EMRG-GEN"/>
    <s v="CC-EMERG-04"/>
    <n v="610.49"/>
    <n v="0.76666666666666672"/>
    <n v="0"/>
    <s v="35-49"/>
    <s v="Short (&lt;3)"/>
    <d v="2025-06-01T00:00:00"/>
    <n v="1215"/>
    <s v="Normal"/>
  </r>
  <r>
    <s v="EX20259"/>
    <x v="7"/>
    <x v="7"/>
    <x v="1"/>
    <x v="46"/>
    <d v="2025-10-22T00:00:00"/>
    <n v="11.9"/>
    <n v="19"/>
    <x v="0"/>
    <s v="White British"/>
    <x v="12"/>
    <x v="12"/>
    <s v="Discharged Home"/>
    <s v="No"/>
    <n v="19"/>
    <n v="30"/>
    <n v="0.63329999999999997"/>
    <n v="400"/>
    <n v="4760"/>
    <s v="ONCO-GEN"/>
    <s v="CC-ONCOL-05"/>
    <n v="7455.23"/>
    <n v="0.6333333333333333"/>
    <n v="0"/>
    <s v="18-34"/>
    <s v="Long (&gt;7)"/>
    <d v="2025-10-01T00:00:00"/>
    <n v="4760"/>
    <s v="Normal"/>
  </r>
  <r>
    <s v="EX20260"/>
    <x v="7"/>
    <x v="7"/>
    <x v="1"/>
    <x v="0"/>
    <d v="2025-04-22T00:00:00"/>
    <n v="9.1"/>
    <n v="78"/>
    <x v="1"/>
    <s v="Black/African/Caribbean"/>
    <x v="11"/>
    <x v="12"/>
    <s v="Transfer to Other Trust"/>
    <s v="No"/>
    <n v="23"/>
    <n v="30"/>
    <n v="0.76670000000000005"/>
    <n v="400"/>
    <n v="3640"/>
    <s v="GENM-GEN"/>
    <s v="CC-GENMED-03"/>
    <n v="887.96"/>
    <n v="0.76666666666666672"/>
    <n v="0"/>
    <s v="65-79"/>
    <s v="Long (&gt;7)"/>
    <d v="2025-04-01T00:00:00"/>
    <n v="3640"/>
    <s v="Normal"/>
  </r>
  <r>
    <s v="EX20261"/>
    <x v="0"/>
    <x v="0"/>
    <x v="0"/>
    <x v="67"/>
    <d v="2025-02-14T00:00:00"/>
    <n v="3.3"/>
    <n v="87"/>
    <x v="0"/>
    <s v="White British"/>
    <x v="1"/>
    <x v="1"/>
    <s v="Transfer to Other Trust"/>
    <s v="No"/>
    <n v="19"/>
    <n v="30"/>
    <n v="0.63329999999999997"/>
    <n v="350"/>
    <n v="1155"/>
    <s v="ORTH-GEN"/>
    <s v="CC-ORTHO-02"/>
    <n v="2963.4"/>
    <n v="0.6333333333333333"/>
    <n v="0"/>
    <s v="80+"/>
    <s v="Medium (3-7)"/>
    <d v="2025-02-01T00:00:00"/>
    <n v="1155"/>
    <s v="Normal"/>
  </r>
  <r>
    <s v="EX20262"/>
    <x v="5"/>
    <x v="5"/>
    <x v="1"/>
    <x v="20"/>
    <d v="2025-01-30T00:00:00"/>
    <n v="2.5"/>
    <n v="30"/>
    <x v="0"/>
    <s v="White British"/>
    <x v="9"/>
    <x v="15"/>
    <s v="Transfer to Other Trust"/>
    <s v="No"/>
    <n v="23"/>
    <n v="30"/>
    <n v="0.76670000000000005"/>
    <n v="510"/>
    <n v="1275"/>
    <s v="GENM-GEN"/>
    <s v="CC-GENMED-03"/>
    <n v="1487.44"/>
    <n v="0.76666666666666672"/>
    <n v="0"/>
    <s v="18-34"/>
    <s v="Short (&lt;3)"/>
    <d v="2025-01-01T00:00:00"/>
    <n v="1275"/>
    <s v="Normal"/>
  </r>
  <r>
    <s v="EX20263"/>
    <x v="4"/>
    <x v="4"/>
    <x v="2"/>
    <x v="182"/>
    <d v="2025-07-06T00:00:00"/>
    <n v="1.8"/>
    <n v="49"/>
    <x v="1"/>
    <s v="Black/African/Caribbean"/>
    <x v="7"/>
    <x v="7"/>
    <s v="Discharged Home"/>
    <s v="No"/>
    <n v="18"/>
    <n v="30"/>
    <n v="0.6"/>
    <n v="510"/>
    <n v="918"/>
    <s v="RESP-GEN"/>
    <s v="CC-RESPI-08"/>
    <n v="2255.96"/>
    <n v="0.6"/>
    <n v="0"/>
    <s v="35-49"/>
    <s v="Short (&lt;3)"/>
    <d v="2025-07-01T00:00:00"/>
    <n v="918"/>
    <s v="Normal"/>
  </r>
  <r>
    <s v="EX20264"/>
    <x v="3"/>
    <x v="3"/>
    <x v="1"/>
    <x v="67"/>
    <d v="2025-02-14T00:00:00"/>
    <n v="3.2"/>
    <n v="87"/>
    <x v="0"/>
    <s v="Mixed/Multiple"/>
    <x v="5"/>
    <x v="26"/>
    <s v="Discharged Home"/>
    <s v="No"/>
    <n v="27"/>
    <n v="30"/>
    <n v="0.9"/>
    <n v="375"/>
    <n v="1200"/>
    <s v="CARD-GEN"/>
    <s v="CC-CARDIO-01"/>
    <n v="1935.58"/>
    <n v="0.9"/>
    <n v="0"/>
    <s v="80+"/>
    <s v="Medium (3-7)"/>
    <d v="2025-02-01T00:00:00"/>
    <n v="1200"/>
    <s v="Normal"/>
  </r>
  <r>
    <s v="EX20265"/>
    <x v="6"/>
    <x v="6"/>
    <x v="0"/>
    <x v="86"/>
    <d v="2025-12-17T00:00:00"/>
    <n v="3.8"/>
    <n v="51"/>
    <x v="0"/>
    <s v="Other Ethnic Group"/>
    <x v="10"/>
    <x v="11"/>
    <s v="Discharged Home"/>
    <s v="No"/>
    <n v="20"/>
    <n v="30"/>
    <n v="0.66669999999999996"/>
    <n v="400"/>
    <n v="1520"/>
    <s v="EMRG-GEN"/>
    <s v="CC-EMERG-04"/>
    <n v="918.24"/>
    <n v="0.66666666666666663"/>
    <n v="0"/>
    <s v="50-64"/>
    <s v="Medium (3-7)"/>
    <d v="2025-12-01T00:00:00"/>
    <n v="1520"/>
    <s v="Normal"/>
  </r>
  <r>
    <s v="EX20266"/>
    <x v="0"/>
    <x v="0"/>
    <x v="2"/>
    <x v="183"/>
    <d v="2025-10-06T00:00:00"/>
    <n v="2.1"/>
    <n v="50"/>
    <x v="1"/>
    <s v="Black/African/Caribbean"/>
    <x v="1"/>
    <x v="0"/>
    <s v="Discharged Home"/>
    <s v="No"/>
    <n v="27"/>
    <n v="30"/>
    <n v="0.9"/>
    <n v="450"/>
    <n v="945"/>
    <s v="NEUR-GEN"/>
    <s v="CC-NEURO-07"/>
    <n v="1214.26"/>
    <n v="0.9"/>
    <n v="0"/>
    <s v="50-64"/>
    <s v="Short (&lt;3)"/>
    <d v="2025-10-01T00:00:00"/>
    <n v="945"/>
    <s v="Normal"/>
  </r>
  <r>
    <s v="EX20267"/>
    <x v="2"/>
    <x v="2"/>
    <x v="1"/>
    <x v="184"/>
    <d v="2025-09-09T00:00:00"/>
    <n v="7.2"/>
    <n v="68"/>
    <x v="0"/>
    <s v="White British"/>
    <x v="8"/>
    <x v="3"/>
    <s v="Self-Discharge"/>
    <s v="No"/>
    <n v="21"/>
    <n v="30"/>
    <n v="0.7"/>
    <n v="450"/>
    <n v="3240"/>
    <s v="ORTH-GEN"/>
    <s v="CC-ORTHO-02"/>
    <n v="4234.47"/>
    <n v="0.7"/>
    <n v="0"/>
    <s v="65-79"/>
    <s v="Long (&gt;7)"/>
    <d v="2025-09-01T00:00:00"/>
    <n v="3240"/>
    <s v="Normal"/>
  </r>
  <r>
    <s v="EX20268"/>
    <x v="1"/>
    <x v="1"/>
    <x v="2"/>
    <x v="185"/>
    <d v="2025-11-30T00:00:00"/>
    <n v="9.6"/>
    <n v="35"/>
    <x v="1"/>
    <s v="Other Ethnic Group"/>
    <x v="2"/>
    <x v="27"/>
    <s v="Discharged Home"/>
    <s v="No"/>
    <n v="12"/>
    <n v="30"/>
    <n v="0.4"/>
    <n v="350"/>
    <n v="3360"/>
    <s v="EMRG-GEN"/>
    <s v="CC-EMERG-04"/>
    <n v="1076.49"/>
    <n v="0.4"/>
    <n v="0"/>
    <s v="35-49"/>
    <s v="Long (&gt;7)"/>
    <d v="2025-11-01T00:00:00"/>
    <n v="3360"/>
    <s v="Normal"/>
  </r>
  <r>
    <s v="EX20269"/>
    <x v="4"/>
    <x v="4"/>
    <x v="1"/>
    <x v="186"/>
    <d v="2025-12-03T00:00:00"/>
    <n v="4.4000000000000004"/>
    <n v="48"/>
    <x v="1"/>
    <s v="Asian/Asian British"/>
    <x v="7"/>
    <x v="6"/>
    <s v="Discharged Home"/>
    <s v="No"/>
    <n v="21"/>
    <n v="30"/>
    <n v="0.7"/>
    <n v="450"/>
    <n v="1980"/>
    <s v="RESP-GEN"/>
    <s v="CC-RESPI-08"/>
    <n v="2475.7800000000002"/>
    <n v="0.7"/>
    <n v="0"/>
    <s v="35-49"/>
    <s v="Medium (3-7)"/>
    <d v="2025-11-01T00:00:00"/>
    <n v="1980.0000000000002"/>
    <s v="Normal"/>
  </r>
  <r>
    <s v="EX20270"/>
    <x v="2"/>
    <x v="2"/>
    <x v="1"/>
    <x v="187"/>
    <d v="2025-10-06T00:00:00"/>
    <n v="5"/>
    <n v="40"/>
    <x v="1"/>
    <s v="Mixed/Multiple"/>
    <x v="3"/>
    <x v="31"/>
    <s v="Discharged Home"/>
    <s v="No"/>
    <n v="24"/>
    <n v="30"/>
    <n v="0.8"/>
    <n v="350"/>
    <n v="1750"/>
    <s v="ORTH-GEN"/>
    <s v="CC-ORTHO-02"/>
    <n v="5325.04"/>
    <n v="0.8"/>
    <n v="0"/>
    <s v="35-49"/>
    <s v="Medium (3-7)"/>
    <d v="2025-10-01T00:00:00"/>
    <n v="1750"/>
    <s v="Normal"/>
  </r>
  <r>
    <s v="EX20271"/>
    <x v="4"/>
    <x v="4"/>
    <x v="1"/>
    <x v="188"/>
    <d v="2025-07-23T00:00:00"/>
    <n v="1.9"/>
    <n v="41"/>
    <x v="0"/>
    <s v="White British"/>
    <x v="6"/>
    <x v="20"/>
    <s v="Transfer to Other Trust"/>
    <s v="No"/>
    <n v="19"/>
    <n v="30"/>
    <n v="0.63329999999999997"/>
    <n v="480"/>
    <n v="912"/>
    <s v="GENM-GEN"/>
    <s v="CC-GENMED-03"/>
    <n v="2488.35"/>
    <n v="0.6333333333333333"/>
    <n v="0"/>
    <s v="35-49"/>
    <s v="Short (&lt;3)"/>
    <d v="2025-07-01T00:00:00"/>
    <n v="912"/>
    <s v="Normal"/>
  </r>
  <r>
    <s v="EX20272"/>
    <x v="0"/>
    <x v="0"/>
    <x v="2"/>
    <x v="189"/>
    <d v="2025-03-29T00:00:00"/>
    <n v="3.5"/>
    <n v="38"/>
    <x v="1"/>
    <s v="Other Ethnic Group"/>
    <x v="0"/>
    <x v="8"/>
    <s v="Discharged Home"/>
    <s v="No"/>
    <n v="26"/>
    <n v="30"/>
    <n v="0.86670000000000003"/>
    <n v="450"/>
    <n v="1575"/>
    <s v="GENM-GEN"/>
    <s v="CC-GENMED-03"/>
    <n v="2249.7800000000002"/>
    <n v="0.8666666666666667"/>
    <n v="0"/>
    <s v="35-49"/>
    <s v="Medium (3-7)"/>
    <d v="2025-03-01T00:00:00"/>
    <n v="1575"/>
    <s v="Normal"/>
  </r>
  <r>
    <s v="EX20273"/>
    <x v="3"/>
    <x v="3"/>
    <x v="1"/>
    <x v="31"/>
    <d v="2025-10-04T00:00:00"/>
    <n v="5.2"/>
    <n v="75"/>
    <x v="0"/>
    <s v="Mixed/Multiple"/>
    <x v="4"/>
    <x v="25"/>
    <s v="Discharged to Community Care"/>
    <s v="No"/>
    <n v="19"/>
    <n v="30"/>
    <n v="0.63329999999999997"/>
    <n v="375"/>
    <n v="1950"/>
    <s v="RESP-GEN"/>
    <s v="CC-RESPI-08"/>
    <n v="902.25"/>
    <n v="0.6333333333333333"/>
    <n v="0"/>
    <s v="65-79"/>
    <s v="Medium (3-7)"/>
    <d v="2025-09-01T00:00:00"/>
    <n v="1950"/>
    <s v="Normal"/>
  </r>
  <r>
    <s v="EX20274"/>
    <x v="7"/>
    <x v="7"/>
    <x v="1"/>
    <x v="98"/>
    <d v="2025-04-10T00:00:00"/>
    <n v="9.4"/>
    <n v="56"/>
    <x v="1"/>
    <s v="Other Ethnic Group"/>
    <x v="12"/>
    <x v="19"/>
    <s v="Transfer to Other Trust"/>
    <s v="No"/>
    <n v="24"/>
    <n v="30"/>
    <n v="0.8"/>
    <n v="375"/>
    <n v="3525"/>
    <s v="PEDS-GEN"/>
    <s v="CC-PAEDS-06"/>
    <n v="1466.78"/>
    <n v="0.8"/>
    <n v="0"/>
    <s v="50-64"/>
    <s v="Long (&gt;7)"/>
    <d v="2025-04-01T00:00:00"/>
    <n v="3525"/>
    <s v="Normal"/>
  </r>
  <r>
    <s v="EX20275"/>
    <x v="4"/>
    <x v="4"/>
    <x v="0"/>
    <x v="143"/>
    <d v="2025-11-30T00:00:00"/>
    <n v="4.2"/>
    <n v="41"/>
    <x v="0"/>
    <s v="Other Ethnic Group"/>
    <x v="6"/>
    <x v="7"/>
    <s v="Transfer to Other Trust"/>
    <s v="No"/>
    <n v="18"/>
    <n v="30"/>
    <n v="0.6"/>
    <n v="375"/>
    <n v="1575"/>
    <s v="ONCO-GEN"/>
    <s v="CC-ONCOL-05"/>
    <n v="7211"/>
    <n v="0.6"/>
    <n v="0"/>
    <s v="35-49"/>
    <s v="Medium (3-7)"/>
    <d v="2025-11-01T00:00:00"/>
    <n v="1575"/>
    <s v="Normal"/>
  </r>
  <r>
    <s v="EX20276"/>
    <x v="7"/>
    <x v="7"/>
    <x v="1"/>
    <x v="14"/>
    <d v="2025-08-12T00:00:00"/>
    <n v="10.1"/>
    <n v="32"/>
    <x v="1"/>
    <s v="Not Stated"/>
    <x v="12"/>
    <x v="30"/>
    <s v="Transfer to Other Trust"/>
    <s v="No"/>
    <n v="16"/>
    <n v="30"/>
    <n v="0.5333"/>
    <n v="450"/>
    <n v="4545"/>
    <s v="PEDS-GEN"/>
    <s v="CC-PAEDS-06"/>
    <n v="1318.6"/>
    <n v="0.53333333333333333"/>
    <n v="0"/>
    <s v="18-34"/>
    <s v="Long (&gt;7)"/>
    <d v="2025-08-01T00:00:00"/>
    <n v="4545"/>
    <s v="Normal"/>
  </r>
  <r>
    <s v="EX20277"/>
    <x v="2"/>
    <x v="2"/>
    <x v="0"/>
    <x v="139"/>
    <d v="2025-08-22T00:00:00"/>
    <n v="7.9"/>
    <n v="32"/>
    <x v="1"/>
    <s v="Asian/Asian British"/>
    <x v="3"/>
    <x v="31"/>
    <s v="Discharged Home"/>
    <s v="No"/>
    <n v="27"/>
    <n v="30"/>
    <n v="0.9"/>
    <n v="450"/>
    <n v="3555"/>
    <s v="CARD-GEN"/>
    <s v="CC-CARDIO-01"/>
    <n v="1799.39"/>
    <n v="0.9"/>
    <n v="0"/>
    <s v="18-34"/>
    <s v="Long (&gt;7)"/>
    <d v="2025-08-01T00:00:00"/>
    <n v="3555"/>
    <s v="Normal"/>
  </r>
  <r>
    <s v="EX20278"/>
    <x v="2"/>
    <x v="2"/>
    <x v="1"/>
    <x v="97"/>
    <d v="2025-11-25T00:00:00"/>
    <n v="6.5"/>
    <n v="70"/>
    <x v="1"/>
    <s v="Asian/Asian British"/>
    <x v="8"/>
    <x v="3"/>
    <s v="Discharged Home"/>
    <s v="No"/>
    <n v="15"/>
    <n v="30"/>
    <n v="0.5"/>
    <n v="400"/>
    <n v="2600"/>
    <s v="NEUR-GEN"/>
    <s v="CC-NEURO-07"/>
    <n v="1629.14"/>
    <n v="0.5"/>
    <n v="0"/>
    <s v="65-79"/>
    <s v="Medium (3-7)"/>
    <d v="2025-11-01T00:00:00"/>
    <n v="2600"/>
    <s v="Normal"/>
  </r>
  <r>
    <s v="EX20279"/>
    <x v="1"/>
    <x v="1"/>
    <x v="1"/>
    <x v="190"/>
    <d v="2025-08-07T00:00:00"/>
    <n v="6.6"/>
    <n v="70"/>
    <x v="1"/>
    <s v="White British"/>
    <x v="13"/>
    <x v="16"/>
    <s v="Discharged Home"/>
    <s v="No"/>
    <n v="23"/>
    <n v="30"/>
    <n v="0.76670000000000005"/>
    <n v="425"/>
    <n v="2805"/>
    <s v="CARD-GEN"/>
    <s v="CC-CARDIO-01"/>
    <n v="2270.4899999999998"/>
    <n v="0.76666666666666672"/>
    <n v="0"/>
    <s v="65-79"/>
    <s v="Medium (3-7)"/>
    <d v="2025-08-01T00:00:00"/>
    <n v="2805"/>
    <s v="Normal"/>
  </r>
  <r>
    <s v="EX20280"/>
    <x v="0"/>
    <x v="0"/>
    <x v="1"/>
    <x v="0"/>
    <d v="2025-04-20T00:00:00"/>
    <n v="7.2"/>
    <n v="25"/>
    <x v="1"/>
    <s v="White British"/>
    <x v="1"/>
    <x v="18"/>
    <s v="Discharged Home"/>
    <s v="No"/>
    <n v="14"/>
    <n v="30"/>
    <n v="0.4667"/>
    <n v="480"/>
    <n v="3456"/>
    <s v="ONCO-GEN"/>
    <s v="CC-ONCOL-05"/>
    <n v="7116.09"/>
    <n v="0.46666666666666667"/>
    <n v="0"/>
    <s v="18-34"/>
    <s v="Long (&gt;7)"/>
    <d v="2025-04-01T00:00:00"/>
    <n v="3456"/>
    <s v="Normal"/>
  </r>
  <r>
    <s v="EX20281"/>
    <x v="4"/>
    <x v="4"/>
    <x v="2"/>
    <x v="191"/>
    <d v="2025-11-25T00:00:00"/>
    <n v="5"/>
    <n v="58"/>
    <x v="1"/>
    <s v="Black/African/Caribbean"/>
    <x v="7"/>
    <x v="6"/>
    <s v="Discharged Home"/>
    <s v="No"/>
    <n v="15"/>
    <n v="30"/>
    <n v="0.5"/>
    <n v="425"/>
    <n v="2125"/>
    <s v="GENM-GEN"/>
    <s v="CC-GENMED-03"/>
    <n v="1394.98"/>
    <n v="0.5"/>
    <n v="0"/>
    <s v="50-64"/>
    <s v="Medium (3-7)"/>
    <d v="2025-11-01T00:00:00"/>
    <n v="2125"/>
    <s v="Normal"/>
  </r>
  <r>
    <s v="EX20282"/>
    <x v="4"/>
    <x v="4"/>
    <x v="1"/>
    <x v="21"/>
    <d v="2025-07-14T00:00:00"/>
    <n v="2.8"/>
    <n v="25"/>
    <x v="0"/>
    <s v="Black/African/Caribbean"/>
    <x v="7"/>
    <x v="6"/>
    <s v="Discharged to Community Care"/>
    <s v="No"/>
    <n v="20"/>
    <n v="30"/>
    <n v="0.66669999999999996"/>
    <n v="425"/>
    <n v="1190"/>
    <s v="GENM-GEN"/>
    <s v="CC-GENMED-03"/>
    <n v="2934.47"/>
    <n v="0.66666666666666663"/>
    <n v="0"/>
    <s v="18-34"/>
    <s v="Short (&lt;3)"/>
    <d v="2025-07-01T00:00:00"/>
    <n v="1190"/>
    <s v="Normal"/>
  </r>
  <r>
    <s v="EX20283"/>
    <x v="2"/>
    <x v="2"/>
    <x v="1"/>
    <x v="192"/>
    <d v="2025-09-09T00:00:00"/>
    <n v="4.2"/>
    <n v="58"/>
    <x v="1"/>
    <s v="Other Ethnic Group"/>
    <x v="3"/>
    <x v="31"/>
    <s v="Discharged Home"/>
    <s v="No"/>
    <n v="26"/>
    <n v="30"/>
    <n v="0.86670000000000003"/>
    <n v="375"/>
    <n v="1575"/>
    <s v="CARD-GEN"/>
    <s v="CC-CARDIO-01"/>
    <n v="1205.83"/>
    <n v="0.8666666666666667"/>
    <n v="0"/>
    <s v="50-64"/>
    <s v="Medium (3-7)"/>
    <d v="2025-09-01T00:00:00"/>
    <n v="1575"/>
    <s v="Normal"/>
  </r>
  <r>
    <s v="EX20284"/>
    <x v="0"/>
    <x v="0"/>
    <x v="1"/>
    <x v="19"/>
    <d v="2025-03-09T00:00:00"/>
    <n v="3.7"/>
    <n v="54"/>
    <x v="0"/>
    <s v="Asian/Asian British"/>
    <x v="1"/>
    <x v="0"/>
    <s v="Discharged Home"/>
    <s v="No"/>
    <n v="15"/>
    <n v="30"/>
    <n v="0.5"/>
    <n v="400"/>
    <n v="1480"/>
    <s v="ONCO-GEN"/>
    <s v="CC-ONCOL-05"/>
    <n v="8461.1299999999992"/>
    <n v="0.5"/>
    <n v="0"/>
    <s v="50-64"/>
    <s v="Medium (3-7)"/>
    <d v="2025-03-01T00:00:00"/>
    <n v="1480"/>
    <s v="Normal"/>
  </r>
  <r>
    <s v="EX20285"/>
    <x v="7"/>
    <x v="7"/>
    <x v="2"/>
    <x v="193"/>
    <d v="2025-04-25T00:00:00"/>
    <n v="10.5"/>
    <n v="29"/>
    <x v="1"/>
    <s v="White British"/>
    <x v="11"/>
    <x v="30"/>
    <s v="Discharged Home"/>
    <s v="No"/>
    <n v="24"/>
    <n v="30"/>
    <n v="0.8"/>
    <n v="375"/>
    <n v="3937.5"/>
    <s v="ONCO-GEN"/>
    <s v="CC-ONCOL-05"/>
    <n v="3954.02"/>
    <n v="0.8"/>
    <n v="0"/>
    <s v="18-34"/>
    <s v="Long (&gt;7)"/>
    <d v="2025-04-01T00:00:00"/>
    <n v="3937.5"/>
    <s v="Normal"/>
  </r>
  <r>
    <s v="EX20286"/>
    <x v="1"/>
    <x v="1"/>
    <x v="2"/>
    <x v="177"/>
    <d v="2025-07-24T00:00:00"/>
    <n v="10.7"/>
    <n v="80"/>
    <x v="1"/>
    <s v="Not Stated"/>
    <x v="13"/>
    <x v="16"/>
    <s v="Discharged Home"/>
    <s v="Yes"/>
    <n v="23"/>
    <n v="30"/>
    <n v="0.76670000000000005"/>
    <n v="425"/>
    <n v="4547.5"/>
    <s v="ONCO-GEN"/>
    <s v="CC-ONCOL-05"/>
    <n v="4769.82"/>
    <n v="0.76666666666666672"/>
    <n v="1"/>
    <s v="80+"/>
    <s v="Long (&gt;7)"/>
    <d v="2025-07-01T00:00:00"/>
    <n v="4547.5"/>
    <s v="Normal"/>
  </r>
  <r>
    <s v="EX20287"/>
    <x v="6"/>
    <x v="6"/>
    <x v="1"/>
    <x v="194"/>
    <d v="2025-01-27T00:00:00"/>
    <n v="3.8"/>
    <n v="73"/>
    <x v="0"/>
    <s v="Mixed/Multiple"/>
    <x v="10"/>
    <x v="11"/>
    <s v="Self-Discharge"/>
    <s v="No"/>
    <n v="30"/>
    <n v="30"/>
    <n v="1"/>
    <n v="425"/>
    <n v="1615"/>
    <s v="ORTH-GEN"/>
    <s v="CC-ORTHO-02"/>
    <n v="3663.13"/>
    <n v="1"/>
    <n v="0"/>
    <s v="65-79"/>
    <s v="Medium (3-7)"/>
    <d v="2025-01-01T00:00:00"/>
    <n v="1615"/>
    <s v="Normal"/>
  </r>
  <r>
    <s v="EX20288"/>
    <x v="3"/>
    <x v="3"/>
    <x v="0"/>
    <x v="168"/>
    <d v="2025-12-17T00:00:00"/>
    <n v="4.9000000000000004"/>
    <n v="74"/>
    <x v="1"/>
    <s v="Not Stated"/>
    <x v="4"/>
    <x v="5"/>
    <s v="Discharged Home"/>
    <s v="No"/>
    <n v="21"/>
    <n v="30"/>
    <n v="0.7"/>
    <n v="450"/>
    <n v="2205"/>
    <s v="RESP-GEN"/>
    <s v="CC-RESPI-08"/>
    <n v="1895.68"/>
    <n v="0.7"/>
    <n v="0"/>
    <s v="65-79"/>
    <s v="Medium (3-7)"/>
    <d v="2025-12-01T00:00:00"/>
    <n v="2205"/>
    <s v="Normal"/>
  </r>
  <r>
    <s v="EX20289"/>
    <x v="7"/>
    <x v="7"/>
    <x v="1"/>
    <x v="7"/>
    <d v="2025-05-07T00:00:00"/>
    <n v="7.7"/>
    <n v="66"/>
    <x v="0"/>
    <s v="Other Ethnic Group"/>
    <x v="11"/>
    <x v="30"/>
    <s v="Discharged Home"/>
    <s v="No"/>
    <n v="12"/>
    <n v="30"/>
    <n v="0.4"/>
    <n v="450"/>
    <n v="3465"/>
    <s v="NEUR-GEN"/>
    <s v="CC-NEURO-07"/>
    <n v="3558.44"/>
    <n v="0.4"/>
    <n v="0"/>
    <s v="65-79"/>
    <s v="Long (&gt;7)"/>
    <d v="2025-04-01T00:00:00"/>
    <n v="3465"/>
    <s v="Normal"/>
  </r>
  <r>
    <s v="EX20290"/>
    <x v="7"/>
    <x v="7"/>
    <x v="1"/>
    <x v="62"/>
    <d v="2025-04-28T00:00:00"/>
    <n v="5.8"/>
    <n v="85"/>
    <x v="1"/>
    <s v="White British"/>
    <x v="12"/>
    <x v="23"/>
    <s v="Self-Discharge"/>
    <s v="No"/>
    <n v="14"/>
    <n v="30"/>
    <n v="0.4667"/>
    <n v="480"/>
    <n v="2784"/>
    <s v="ORTH-GEN"/>
    <s v="CC-ORTHO-02"/>
    <n v="6539.99"/>
    <n v="0.46666666666666667"/>
    <n v="0"/>
    <s v="80+"/>
    <s v="Medium (3-7)"/>
    <d v="2025-04-01T00:00:00"/>
    <n v="2784"/>
    <s v="Normal"/>
  </r>
  <r>
    <s v="EX20291"/>
    <x v="0"/>
    <x v="0"/>
    <x v="1"/>
    <x v="195"/>
    <d v="2025-10-10T00:00:00"/>
    <n v="3.6"/>
    <n v="43"/>
    <x v="1"/>
    <s v="Black/African/Caribbean"/>
    <x v="1"/>
    <x v="1"/>
    <s v="Discharged Home"/>
    <s v="Yes"/>
    <n v="21"/>
    <n v="30"/>
    <n v="0.7"/>
    <n v="375"/>
    <n v="1350"/>
    <s v="CARD-GEN"/>
    <s v="CC-CARDIO-01"/>
    <n v="1911.86"/>
    <n v="0.7"/>
    <n v="1"/>
    <s v="35-49"/>
    <s v="Medium (3-7)"/>
    <d v="2025-10-01T00:00:00"/>
    <n v="1350"/>
    <s v="Normal"/>
  </r>
  <r>
    <s v="EX20292"/>
    <x v="3"/>
    <x v="3"/>
    <x v="1"/>
    <x v="196"/>
    <d v="2025-10-12T00:00:00"/>
    <n v="6.1"/>
    <n v="64"/>
    <x v="1"/>
    <s v="Other Ethnic Group"/>
    <x v="5"/>
    <x v="25"/>
    <s v="Discharged Home"/>
    <s v="No"/>
    <n v="25"/>
    <n v="30"/>
    <n v="0.83330000000000004"/>
    <n v="425"/>
    <n v="2592.5"/>
    <s v="PEDS-GEN"/>
    <s v="CC-PAEDS-06"/>
    <n v="1567.03"/>
    <n v="0.83333333333333337"/>
    <n v="0"/>
    <s v="50-64"/>
    <s v="Medium (3-7)"/>
    <d v="2025-10-01T00:00:00"/>
    <n v="2592.5"/>
    <s v="Normal"/>
  </r>
  <r>
    <s v="EX20293"/>
    <x v="0"/>
    <x v="0"/>
    <x v="2"/>
    <x v="59"/>
    <d v="2025-05-24T00:00:00"/>
    <n v="2.5"/>
    <n v="45"/>
    <x v="1"/>
    <s v="Other Ethnic Group"/>
    <x v="1"/>
    <x v="0"/>
    <s v="Transfer to Other Trust"/>
    <s v="No"/>
    <n v="15"/>
    <n v="30"/>
    <n v="0.5"/>
    <n v="450"/>
    <n v="1125"/>
    <s v="GENM-GEN"/>
    <s v="CC-GENMED-03"/>
    <n v="1659.46"/>
    <n v="0.5"/>
    <n v="0"/>
    <s v="35-49"/>
    <s v="Short (&lt;3)"/>
    <d v="2025-05-01T00:00:00"/>
    <n v="1125"/>
    <s v="Normal"/>
  </r>
  <r>
    <s v="EX20294"/>
    <x v="4"/>
    <x v="4"/>
    <x v="1"/>
    <x v="197"/>
    <d v="2025-02-18T00:00:00"/>
    <n v="3.8"/>
    <n v="51"/>
    <x v="1"/>
    <s v="Black/African/Caribbean"/>
    <x v="6"/>
    <x v="6"/>
    <s v="Transfer to Other Trust"/>
    <s v="No"/>
    <n v="30"/>
    <n v="30"/>
    <n v="1"/>
    <n v="450"/>
    <n v="1710"/>
    <s v="PEDS-GEN"/>
    <s v="CC-PAEDS-06"/>
    <n v="812.58"/>
    <n v="1"/>
    <n v="0"/>
    <s v="50-64"/>
    <s v="Medium (3-7)"/>
    <d v="2025-02-01T00:00:00"/>
    <n v="1710"/>
    <s v="Normal"/>
  </r>
  <r>
    <s v="EX20295"/>
    <x v="3"/>
    <x v="3"/>
    <x v="0"/>
    <x v="198"/>
    <d v="2025-03-16T00:00:00"/>
    <n v="1.3"/>
    <n v="54"/>
    <x v="1"/>
    <s v="White British"/>
    <x v="5"/>
    <x v="5"/>
    <s v="Discharged Home"/>
    <s v="No"/>
    <n v="20"/>
    <n v="30"/>
    <n v="0.66669999999999996"/>
    <n v="375"/>
    <n v="487.5"/>
    <s v="PEDS-GEN"/>
    <s v="CC-PAEDS-06"/>
    <n v="2080.9"/>
    <n v="0.66666666666666663"/>
    <n v="0"/>
    <s v="50-64"/>
    <s v="Short (&lt;3)"/>
    <d v="2025-03-01T00:00:00"/>
    <n v="487.5"/>
    <s v="Normal"/>
  </r>
  <r>
    <s v="EX20296"/>
    <x v="1"/>
    <x v="1"/>
    <x v="0"/>
    <x v="38"/>
    <d v="2025-05-30T00:00:00"/>
    <n v="9.3000000000000007"/>
    <n v="23"/>
    <x v="0"/>
    <s v="Black/African/Caribbean"/>
    <x v="2"/>
    <x v="2"/>
    <s v="Self-Discharge"/>
    <s v="No"/>
    <n v="20"/>
    <n v="30"/>
    <n v="0.66669999999999996"/>
    <n v="480"/>
    <n v="4464"/>
    <s v="PEDS-GEN"/>
    <s v="CC-PAEDS-06"/>
    <n v="1482.03"/>
    <n v="0.66666666666666663"/>
    <n v="0"/>
    <s v="18-34"/>
    <s v="Long (&gt;7)"/>
    <d v="2025-05-01T00:00:00"/>
    <n v="4464"/>
    <s v="Normal"/>
  </r>
  <r>
    <s v="EX20297"/>
    <x v="2"/>
    <x v="2"/>
    <x v="2"/>
    <x v="148"/>
    <d v="2025-05-20T00:00:00"/>
    <n v="7.7"/>
    <n v="30"/>
    <x v="1"/>
    <s v="Not Stated"/>
    <x v="8"/>
    <x v="13"/>
    <s v="Discharged Home"/>
    <s v="No"/>
    <n v="16"/>
    <n v="30"/>
    <n v="0.5333"/>
    <n v="375"/>
    <n v="2887.5"/>
    <s v="CARD-GEN"/>
    <s v="CC-CARDIO-01"/>
    <n v="3160.42"/>
    <n v="0.53333333333333333"/>
    <n v="0"/>
    <s v="18-34"/>
    <s v="Long (&gt;7)"/>
    <d v="2025-05-01T00:00:00"/>
    <n v="2887.5"/>
    <s v="Normal"/>
  </r>
  <r>
    <s v="EX20298"/>
    <x v="7"/>
    <x v="7"/>
    <x v="1"/>
    <x v="199"/>
    <d v="2025-12-26T00:00:00"/>
    <n v="3.6"/>
    <n v="42"/>
    <x v="0"/>
    <s v="Asian/Asian British"/>
    <x v="12"/>
    <x v="23"/>
    <s v="Discharged to Community Care"/>
    <s v="Yes"/>
    <n v="22"/>
    <n v="30"/>
    <n v="0.73329999999999995"/>
    <n v="400"/>
    <n v="1440"/>
    <s v="NEUR-GEN"/>
    <s v="CC-NEURO-07"/>
    <n v="2686.66"/>
    <n v="0.73333333333333328"/>
    <n v="1"/>
    <s v="35-49"/>
    <s v="Medium (3-7)"/>
    <d v="2025-12-01T00:00:00"/>
    <n v="1440"/>
    <s v="Normal"/>
  </r>
  <r>
    <s v="EX20299"/>
    <x v="5"/>
    <x v="5"/>
    <x v="2"/>
    <x v="200"/>
    <d v="2025-06-10T00:00:00"/>
    <n v="1.1000000000000001"/>
    <n v="20"/>
    <x v="0"/>
    <s v="White British"/>
    <x v="14"/>
    <x v="15"/>
    <s v="Discharged Home"/>
    <s v="No"/>
    <n v="23"/>
    <n v="30"/>
    <n v="0.76670000000000005"/>
    <n v="350"/>
    <n v="385"/>
    <s v="ONCO-GEN"/>
    <s v="CC-ONCOL-05"/>
    <n v="3196.17"/>
    <n v="0.76666666666666672"/>
    <n v="0"/>
    <s v="18-34"/>
    <s v="Short (&lt;3)"/>
    <d v="2025-06-01T00:00:00"/>
    <n v="385.00000000000006"/>
    <s v="Normal"/>
  </r>
  <r>
    <s v="EX20300"/>
    <x v="4"/>
    <x v="4"/>
    <x v="1"/>
    <x v="147"/>
    <d v="2025-02-04T00:00:00"/>
    <n v="2.4"/>
    <n v="42"/>
    <x v="1"/>
    <s v="Other Ethnic Group"/>
    <x v="7"/>
    <x v="6"/>
    <s v="Discharged Home"/>
    <s v="No"/>
    <n v="18"/>
    <n v="30"/>
    <n v="0.6"/>
    <n v="350"/>
    <n v="840"/>
    <s v="EMRG-GEN"/>
    <s v="CC-EMERG-04"/>
    <n v="833.81"/>
    <n v="0.6"/>
    <n v="0"/>
    <s v="35-49"/>
    <s v="Short (&lt;3)"/>
    <d v="2025-02-01T00:00:00"/>
    <n v="840"/>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D80BE0-088C-409B-B426-B456B9558F9C}" name="PivotTable4" cacheId="4"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location ref="A7:A8" firstHeaderRow="1" firstDataRow="1" firstDataCol="0"/>
  <pivotFields count="30">
    <pivotField showAll="0"/>
    <pivotField showAll="0">
      <items count="9">
        <item x="6"/>
        <item x="5"/>
        <item x="3"/>
        <item x="0"/>
        <item x="7"/>
        <item x="1"/>
        <item x="4"/>
        <item x="2"/>
        <item t="default"/>
      </items>
    </pivotField>
    <pivotField showAll="0">
      <items count="9">
        <item x="5"/>
        <item x="4"/>
        <item x="3"/>
        <item x="0"/>
        <item x="6"/>
        <item x="2"/>
        <item x="1"/>
        <item x="7"/>
        <item t="default"/>
      </items>
    </pivotField>
    <pivotField showAll="0">
      <items count="4">
        <item x="2"/>
        <item x="1"/>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items count="3">
        <item x="1"/>
        <item x="0"/>
        <item t="default"/>
      </items>
    </pivotField>
    <pivotField showAll="0"/>
    <pivotField showAll="0">
      <items count="17">
        <item x="4"/>
        <item x="14"/>
        <item x="7"/>
        <item x="8"/>
        <item x="6"/>
        <item x="1"/>
        <item x="11"/>
        <item x="9"/>
        <item x="3"/>
        <item x="0"/>
        <item x="12"/>
        <item x="5"/>
        <item x="15"/>
        <item x="10"/>
        <item x="13"/>
        <item x="2"/>
        <item t="default"/>
      </items>
    </pivotField>
    <pivotField showAll="0"/>
    <pivotField showAll="0"/>
    <pivotField showAll="0"/>
    <pivotField showAll="0"/>
    <pivotField showAll="0"/>
    <pivotField showAll="0"/>
    <pivotField showAll="0"/>
    <pivotField dataField="1" numFmtId="164" showAll="0"/>
    <pivotField showAll="0"/>
    <pivotField showAll="0"/>
    <pivotField numFmtId="164" showAll="0"/>
    <pivotField numFmtId="9" showAll="0"/>
    <pivotField showAll="0"/>
    <pivotField showAll="0"/>
    <pivotField showAll="0"/>
    <pivotField numFmtId="14" showAll="0"/>
    <pivotField numFmtId="164"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Total_Encounter_Cost_Naira" fld="18" subtotal="average" baseField="0" baseItem="0" numFmtId="165"/>
  </dataFields>
  <formats count="3">
    <format dxfId="8">
      <pivotArea type="all" dataOnly="0" outline="0" fieldPosition="0"/>
    </format>
    <format dxfId="9">
      <pivotArea dataOnly="0" labelOnly="1" outline="0" axis="axisValues"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76A8FF-2ADE-4D92-ABD7-0B94E51E4397}" name="PivotTable2" cacheId="4"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location ref="C3:C4" firstHeaderRow="1" firstDataRow="1" firstDataCol="0"/>
  <pivotFields count="30">
    <pivotField showAll="0"/>
    <pivotField showAll="0">
      <items count="9">
        <item x="6"/>
        <item x="5"/>
        <item x="3"/>
        <item x="0"/>
        <item x="7"/>
        <item x="1"/>
        <item x="4"/>
        <item x="2"/>
        <item t="default"/>
      </items>
    </pivotField>
    <pivotField showAll="0">
      <items count="9">
        <item x="5"/>
        <item x="4"/>
        <item x="3"/>
        <item x="0"/>
        <item x="6"/>
        <item x="2"/>
        <item x="1"/>
        <item x="7"/>
        <item t="default"/>
      </items>
    </pivotField>
    <pivotField showAll="0">
      <items count="4">
        <item x="2"/>
        <item x="1"/>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dataField="1" showAll="0"/>
    <pivotField showAll="0"/>
    <pivotField showAll="0">
      <items count="3">
        <item x="1"/>
        <item x="0"/>
        <item t="default"/>
      </items>
    </pivotField>
    <pivotField showAll="0"/>
    <pivotField showAll="0">
      <items count="17">
        <item x="4"/>
        <item x="14"/>
        <item x="7"/>
        <item x="8"/>
        <item x="6"/>
        <item x="1"/>
        <item x="11"/>
        <item x="9"/>
        <item x="3"/>
        <item x="0"/>
        <item x="12"/>
        <item x="5"/>
        <item x="15"/>
        <item x="10"/>
        <item x="13"/>
        <item x="2"/>
        <item t="default"/>
      </items>
    </pivotField>
    <pivotField showAll="0"/>
    <pivotField showAll="0"/>
    <pivotField showAll="0"/>
    <pivotField showAll="0"/>
    <pivotField showAll="0"/>
    <pivotField showAll="0"/>
    <pivotField showAll="0"/>
    <pivotField numFmtId="164" showAll="0"/>
    <pivotField showAll="0"/>
    <pivotField showAll="0"/>
    <pivotField numFmtId="164" showAll="0"/>
    <pivotField numFmtId="9" showAll="0"/>
    <pivotField showAll="0"/>
    <pivotField showAll="0"/>
    <pivotField showAll="0"/>
    <pivotField numFmtId="14" showAll="0"/>
    <pivotField numFmtId="164"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Length_of_Stay_Days" fld="6" subtotal="average" baseField="0" baseItem="0" numFmtId="1"/>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6FB719-F4B4-4F17-BC0D-7447D56C5248}" name="PivotTable1" cacheId="4"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A4" firstHeaderRow="1" firstDataRow="1" firstDataCol="0"/>
  <pivotFields count="30">
    <pivotField dataField="1" showAll="0"/>
    <pivotField showAll="0">
      <items count="9">
        <item x="6"/>
        <item x="5"/>
        <item x="3"/>
        <item x="0"/>
        <item x="7"/>
        <item x="1"/>
        <item x="4"/>
        <item x="2"/>
        <item t="default"/>
      </items>
    </pivotField>
    <pivotField showAll="0">
      <items count="9">
        <item x="5"/>
        <item x="4"/>
        <item x="3"/>
        <item x="0"/>
        <item x="6"/>
        <item x="2"/>
        <item x="1"/>
        <item x="7"/>
        <item t="default"/>
      </items>
    </pivotField>
    <pivotField showAll="0">
      <items count="4">
        <item x="2"/>
        <item x="1"/>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items count="3">
        <item x="1"/>
        <item x="0"/>
        <item t="default"/>
      </items>
    </pivotField>
    <pivotField showAll="0"/>
    <pivotField showAll="0">
      <items count="17">
        <item x="4"/>
        <item x="14"/>
        <item x="7"/>
        <item x="8"/>
        <item x="6"/>
        <item x="1"/>
        <item x="11"/>
        <item x="9"/>
        <item x="3"/>
        <item x="0"/>
        <item x="12"/>
        <item x="5"/>
        <item x="15"/>
        <item x="10"/>
        <item x="13"/>
        <item x="2"/>
        <item t="default"/>
      </items>
    </pivotField>
    <pivotField showAll="0"/>
    <pivotField showAll="0"/>
    <pivotField showAll="0"/>
    <pivotField showAll="0"/>
    <pivotField showAll="0"/>
    <pivotField showAll="0"/>
    <pivotField showAll="0"/>
    <pivotField numFmtId="164" showAll="0"/>
    <pivotField showAll="0"/>
    <pivotField showAll="0"/>
    <pivotField numFmtId="164" showAll="0"/>
    <pivotField numFmtId="9" showAll="0"/>
    <pivotField showAll="0"/>
    <pivotField showAll="0"/>
    <pivotField showAll="0"/>
    <pivotField numFmtId="14" showAll="0"/>
    <pivotField numFmtId="164"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Encount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395AC9-90A5-46B7-9B49-44E8FA9B7A35}" name="PivotTable7" cacheId="4"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location ref="E7:E8" firstHeaderRow="1" firstDataRow="1" firstDataCol="0"/>
  <pivotFields count="30">
    <pivotField showAll="0"/>
    <pivotField showAll="0">
      <items count="9">
        <item x="6"/>
        <item x="5"/>
        <item x="3"/>
        <item x="0"/>
        <item x="7"/>
        <item x="1"/>
        <item x="4"/>
        <item x="2"/>
        <item t="default"/>
      </items>
    </pivotField>
    <pivotField showAll="0">
      <items count="9">
        <item x="5"/>
        <item x="4"/>
        <item x="3"/>
        <item x="0"/>
        <item x="6"/>
        <item x="2"/>
        <item x="1"/>
        <item x="7"/>
        <item t="default"/>
      </items>
    </pivotField>
    <pivotField showAll="0">
      <items count="4">
        <item x="2"/>
        <item x="1"/>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items count="3">
        <item x="1"/>
        <item x="0"/>
        <item t="default"/>
      </items>
    </pivotField>
    <pivotField showAll="0"/>
    <pivotField showAll="0">
      <items count="17">
        <item x="4"/>
        <item x="14"/>
        <item x="7"/>
        <item x="8"/>
        <item x="6"/>
        <item x="1"/>
        <item x="11"/>
        <item x="9"/>
        <item x="3"/>
        <item x="0"/>
        <item x="12"/>
        <item x="5"/>
        <item x="15"/>
        <item x="10"/>
        <item x="13"/>
        <item x="2"/>
        <item t="default"/>
      </items>
    </pivotField>
    <pivotField showAll="0"/>
    <pivotField showAll="0"/>
    <pivotField showAll="0"/>
    <pivotField showAll="0"/>
    <pivotField showAll="0"/>
    <pivotField showAll="0"/>
    <pivotField showAll="0"/>
    <pivotField numFmtId="164" showAll="0"/>
    <pivotField showAll="0"/>
    <pivotField showAll="0"/>
    <pivotField numFmtId="164" showAll="0"/>
    <pivotField dataField="1" numFmtId="9" showAll="0"/>
    <pivotField showAll="0"/>
    <pivotField showAll="0"/>
    <pivotField showAll="0"/>
    <pivotField numFmtId="14" showAll="0"/>
    <pivotField numFmtId="164"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Occupancy_Rate_Fixed" fld="22" subtotal="average" baseField="0" baseItem="0"/>
  </dataFields>
  <formats count="3">
    <format dxfId="2">
      <pivotArea type="all" dataOnly="0" outline="0" fieldPosition="0"/>
    </format>
    <format dxfId="3">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9B1448-685A-416D-BAAA-771DCB80E0E6}" name="PivotTable6" cacheId="4"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location ref="C7:C8" firstHeaderRow="1" firstDataRow="1" firstDataCol="0"/>
  <pivotFields count="30">
    <pivotField showAll="0"/>
    <pivotField showAll="0">
      <items count="9">
        <item x="6"/>
        <item x="5"/>
        <item x="3"/>
        <item x="0"/>
        <item x="7"/>
        <item x="1"/>
        <item x="4"/>
        <item x="2"/>
        <item t="default"/>
      </items>
    </pivotField>
    <pivotField showAll="0">
      <items count="9">
        <item x="5"/>
        <item x="4"/>
        <item x="3"/>
        <item x="0"/>
        <item x="6"/>
        <item x="2"/>
        <item x="1"/>
        <item x="7"/>
        <item t="default"/>
      </items>
    </pivotField>
    <pivotField showAll="0">
      <items count="4">
        <item x="2"/>
        <item x="1"/>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items count="3">
        <item x="1"/>
        <item x="0"/>
        <item t="default"/>
      </items>
    </pivotField>
    <pivotField showAll="0"/>
    <pivotField showAll="0">
      <items count="17">
        <item x="4"/>
        <item x="14"/>
        <item x="7"/>
        <item x="8"/>
        <item x="6"/>
        <item x="1"/>
        <item x="11"/>
        <item x="9"/>
        <item x="3"/>
        <item x="0"/>
        <item x="12"/>
        <item x="5"/>
        <item x="15"/>
        <item x="10"/>
        <item x="13"/>
        <item x="2"/>
        <item t="default"/>
      </items>
    </pivotField>
    <pivotField showAll="0"/>
    <pivotField showAll="0"/>
    <pivotField showAll="0"/>
    <pivotField showAll="0"/>
    <pivotField showAll="0"/>
    <pivotField showAll="0"/>
    <pivotField showAll="0"/>
    <pivotField numFmtId="164" showAll="0"/>
    <pivotField showAll="0"/>
    <pivotField showAll="0"/>
    <pivotField numFmtId="164" showAll="0"/>
    <pivotField numFmtId="9" showAll="0"/>
    <pivotField dataField="1" showAll="0"/>
    <pivotField showAll="0"/>
    <pivotField showAll="0"/>
    <pivotField numFmtId="14" showAll="0"/>
    <pivotField numFmtId="164"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admit_Flag" fld="23" subtotal="average" baseField="0" baseItem="0" numFmtId="9"/>
  </dataFields>
  <formats count="3">
    <format dxfId="5">
      <pivotArea type="all" dataOnly="0" outline="0" fieldPosition="0"/>
    </format>
    <format dxfId="6">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DA9185-488C-44BE-A79A-7AFAABF8FB65}" name="PivotTable3" cacheId="4"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location ref="E3:E4" firstHeaderRow="1" firstDataRow="1" firstDataCol="0"/>
  <pivotFields count="30">
    <pivotField showAll="0"/>
    <pivotField showAll="0">
      <items count="9">
        <item x="6"/>
        <item x="5"/>
        <item x="3"/>
        <item x="0"/>
        <item x="7"/>
        <item x="1"/>
        <item x="4"/>
        <item x="2"/>
        <item t="default"/>
      </items>
    </pivotField>
    <pivotField showAll="0">
      <items count="9">
        <item x="5"/>
        <item x="4"/>
        <item x="3"/>
        <item x="0"/>
        <item x="6"/>
        <item x="2"/>
        <item x="1"/>
        <item x="7"/>
        <item t="default"/>
      </items>
    </pivotField>
    <pivotField showAll="0">
      <items count="4">
        <item x="2"/>
        <item x="1"/>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items count="3">
        <item x="1"/>
        <item x="0"/>
        <item t="default"/>
      </items>
    </pivotField>
    <pivotField showAll="0"/>
    <pivotField showAll="0">
      <items count="17">
        <item x="4"/>
        <item x="14"/>
        <item x="7"/>
        <item x="8"/>
        <item x="6"/>
        <item x="1"/>
        <item x="11"/>
        <item x="9"/>
        <item x="3"/>
        <item x="0"/>
        <item x="12"/>
        <item x="5"/>
        <item x="15"/>
        <item x="10"/>
        <item x="13"/>
        <item x="2"/>
        <item t="default"/>
      </items>
    </pivotField>
    <pivotField showAll="0"/>
    <pivotField showAll="0"/>
    <pivotField showAll="0"/>
    <pivotField showAll="0"/>
    <pivotField showAll="0"/>
    <pivotField showAll="0"/>
    <pivotField showAll="0"/>
    <pivotField dataField="1" numFmtId="164" showAll="0"/>
    <pivotField showAll="0"/>
    <pivotField showAll="0"/>
    <pivotField numFmtId="164" showAll="0"/>
    <pivotField numFmtId="9" showAll="0"/>
    <pivotField showAll="0"/>
    <pivotField showAll="0"/>
    <pivotField showAll="0"/>
    <pivotField numFmtId="14" showAll="0"/>
    <pivotField numFmtId="164"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_Encounter_Cost_Naira" fld="18" baseField="0" baseItem="0" numFmtId="165"/>
  </dataFields>
  <formats count="3">
    <format dxfId="11">
      <pivotArea type="all" dataOnly="0" outline="0" fieldPosition="0"/>
    </format>
    <format dxfId="12">
      <pivotArea dataOnly="0" labelOnly="1" outline="0" axis="axisValues"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39DEE9-9DF2-4894-B7D8-0D94C3BF9F5D}" name="PivotTable2" cacheId="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
  <location ref="F80:G94" firstHeaderRow="1" firstDataRow="1" firstDataCol="1"/>
  <pivotFields count="30">
    <pivotField dataField="1" showAll="0"/>
    <pivotField showAll="0"/>
    <pivotField showAll="0"/>
    <pivotField showAll="0"/>
    <pivotField numFmtId="14" showAll="0"/>
    <pivotField numFmtId="14" showAll="0"/>
    <pivotField showAll="0"/>
    <pivotField showAll="0"/>
    <pivotField showAll="0"/>
    <pivotField showAll="0"/>
    <pivotField showAll="0">
      <items count="17">
        <item x="4"/>
        <item x="14"/>
        <item x="7"/>
        <item x="8"/>
        <item x="6"/>
        <item x="1"/>
        <item x="11"/>
        <item x="9"/>
        <item x="3"/>
        <item x="0"/>
        <item x="12"/>
        <item x="5"/>
        <item x="15"/>
        <item x="10"/>
        <item x="13"/>
        <item x="2"/>
        <item t="default"/>
      </items>
    </pivotField>
    <pivotField axis="axisRow" showAll="0" measureFilter="1" sortType="descending">
      <items count="33">
        <item x="9"/>
        <item x="26"/>
        <item x="8"/>
        <item x="0"/>
        <item x="4"/>
        <item x="3"/>
        <item x="22"/>
        <item x="29"/>
        <item x="19"/>
        <item x="30"/>
        <item x="16"/>
        <item x="2"/>
        <item x="17"/>
        <item x="18"/>
        <item x="24"/>
        <item x="21"/>
        <item x="1"/>
        <item x="5"/>
        <item x="27"/>
        <item x="13"/>
        <item x="12"/>
        <item x="10"/>
        <item x="25"/>
        <item x="7"/>
        <item x="23"/>
        <item x="11"/>
        <item x="31"/>
        <item x="6"/>
        <item x="14"/>
        <item x="20"/>
        <item x="28"/>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showAll="0"/>
    <pivotField showAll="0"/>
    <pivotField numFmtId="164" showAll="0"/>
    <pivotField numFmtId="9" showAll="0"/>
    <pivotField showAll="0"/>
    <pivotField showAll="0"/>
    <pivotField showAll="0"/>
    <pivotField numFmtId="14" showAll="0"/>
    <pivotField numFmtId="164" showAll="0"/>
    <pivotField showAll="0"/>
    <pivotField showAll="0" defaultSubtotal="0"/>
  </pivotFields>
  <rowFields count="1">
    <field x="11"/>
  </rowFields>
  <rowItems count="14">
    <i>
      <x v="16"/>
    </i>
    <i>
      <x v="4"/>
    </i>
    <i>
      <x v="28"/>
    </i>
    <i>
      <x v="25"/>
    </i>
    <i>
      <x v="22"/>
    </i>
    <i>
      <x v="20"/>
    </i>
    <i>
      <x v="24"/>
    </i>
    <i>
      <x v="10"/>
    </i>
    <i>
      <x v="26"/>
    </i>
    <i>
      <x v="3"/>
    </i>
    <i>
      <x v="27"/>
    </i>
    <i>
      <x v="17"/>
    </i>
    <i>
      <x v="2"/>
    </i>
    <i>
      <x v="18"/>
    </i>
  </rowItems>
  <colItems count="1">
    <i/>
  </colItems>
  <dataFields count="1">
    <dataField name="Count of Encounter_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FD6B07-E981-41D9-9F8B-76B8F744E65C}" name="PivotTable1" cacheId="4"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79:D95" firstHeaderRow="0" firstDataRow="1" firstDataCol="1"/>
  <pivotFields count="30">
    <pivotField dataField="1" compact="0" outline="0" showAll="0"/>
    <pivotField compact="0" outline="0" showAll="0"/>
    <pivotField compact="0" outline="0" showAll="0"/>
    <pivotField compact="0" outline="0" showAll="0"/>
    <pivotField compact="0" numFmtId="14" outline="0" showAll="0"/>
    <pivotField compact="0" numFmtId="14" outline="0" showAll="0"/>
    <pivotField dataField="1" compact="0" outline="0" showAll="0"/>
    <pivotField compact="0" outline="0" showAll="0"/>
    <pivotField compact="0" outline="0" showAll="0"/>
    <pivotField compact="0" outline="0" showAll="0"/>
    <pivotField axis="axisRow" compact="0" outline="0" showAll="0">
      <items count="17">
        <item x="4"/>
        <item x="14"/>
        <item x="7"/>
        <item x="8"/>
        <item x="6"/>
        <item x="1"/>
        <item x="11"/>
        <item x="9"/>
        <item x="3"/>
        <item x="0"/>
        <item x="12"/>
        <item x="5"/>
        <item x="15"/>
        <item x="10"/>
        <item x="1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compact="0" outline="0" showAll="0"/>
    <pivotField compact="0" numFmtId="164" outline="0" showAll="0"/>
    <pivotField compact="0" numFmtId="9" outline="0" showAll="0"/>
    <pivotField dataField="1" compact="0" outline="0" showAll="0"/>
    <pivotField compact="0" outline="0" showAll="0"/>
    <pivotField compact="0" outline="0" showAll="0"/>
    <pivotField compact="0" numFmtId="14" outline="0" showAll="0"/>
    <pivotField compact="0" numFmtId="164" outline="0" showAll="0"/>
    <pivotField compact="0" outline="0" showAll="0"/>
    <pivotField compact="0" outline="0" showAll="0" defaultSubtotal="0"/>
  </pivotFields>
  <rowFields count="1">
    <field x="10"/>
  </rowFields>
  <rowItems count="16">
    <i>
      <x/>
    </i>
    <i>
      <x v="1"/>
    </i>
    <i>
      <x v="2"/>
    </i>
    <i>
      <x v="3"/>
    </i>
    <i>
      <x v="4"/>
    </i>
    <i>
      <x v="5"/>
    </i>
    <i>
      <x v="6"/>
    </i>
    <i>
      <x v="7"/>
    </i>
    <i>
      <x v="8"/>
    </i>
    <i>
      <x v="9"/>
    </i>
    <i>
      <x v="10"/>
    </i>
    <i>
      <x v="11"/>
    </i>
    <i>
      <x v="12"/>
    </i>
    <i>
      <x v="13"/>
    </i>
    <i>
      <x v="14"/>
    </i>
    <i>
      <x v="15"/>
    </i>
  </rowItems>
  <colFields count="1">
    <field x="-2"/>
  </colFields>
  <colItems count="3">
    <i>
      <x/>
    </i>
    <i i="1">
      <x v="1"/>
    </i>
    <i i="2">
      <x v="2"/>
    </i>
  </colItems>
  <dataFields count="3">
    <dataField name="Encounters" fld="0" subtotal="count" baseField="0" baseItem="0"/>
    <dataField name="Average of Length_of_Stay_Days" fld="6" subtotal="average" baseField="10" baseItem="0"/>
    <dataField name="Average of Readmission" fld="23" subtotal="average" baseField="10" baseItem="0"/>
  </dataFields>
  <formats count="2">
    <format dxfId="19">
      <pivotArea collapsedLevelsAreSubtotals="1" fieldPosition="0">
        <references count="2">
          <reference field="4294967294" count="1" selected="0">
            <x v="1"/>
          </reference>
          <reference field="10" count="0"/>
        </references>
      </pivotArea>
    </format>
    <format dxfId="20">
      <pivotArea collapsedLevelsAreSubtotals="1" fieldPosition="0">
        <references count="2">
          <reference field="4294967294" count="1" selected="0">
            <x v="2"/>
          </reference>
          <reference field="10" count="0"/>
        </references>
      </pivotArea>
    </format>
  </formats>
  <conditionalFormats count="3">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 scope="field" priority="1">
      <pivotAreas count="1">
        <pivotArea outline="0" collapsedLevelsAreSubtotals="1" fieldPosition="0">
          <references count="2">
            <reference field="4294967294" count="1" selected="0">
              <x v="2"/>
            </reference>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6F9F73-04B8-4CB4-B155-F5A9B73600B0}" name="PivotTable10" cacheId="4"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3" rowHeaderCaption="Departments">
  <location ref="A33:B45" firstHeaderRow="1" firstDataRow="1" firstDataCol="1"/>
  <pivotFields count="30">
    <pivotField dataField="1" showAll="0"/>
    <pivotField showAll="0">
      <items count="9">
        <item x="6"/>
        <item x="5"/>
        <item x="3"/>
        <item x="0"/>
        <item x="7"/>
        <item x="1"/>
        <item x="4"/>
        <item x="2"/>
        <item t="default"/>
      </items>
    </pivotField>
    <pivotField showAll="0">
      <items count="9">
        <item x="5"/>
        <item x="4"/>
        <item x="3"/>
        <item x="0"/>
        <item x="6"/>
        <item x="2"/>
        <item x="1"/>
        <item x="7"/>
        <item t="default"/>
      </items>
    </pivotField>
    <pivotField showAll="0">
      <items count="4">
        <item x="2"/>
        <item x="1"/>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items count="3">
        <item x="1"/>
        <item x="0"/>
        <item t="default"/>
      </items>
    </pivotField>
    <pivotField showAll="0"/>
    <pivotField showAll="0">
      <items count="17">
        <item x="4"/>
        <item x="14"/>
        <item x="7"/>
        <item x="8"/>
        <item x="6"/>
        <item x="1"/>
        <item x="11"/>
        <item x="9"/>
        <item x="3"/>
        <item x="0"/>
        <item x="12"/>
        <item x="5"/>
        <item x="15"/>
        <item x="10"/>
        <item x="13"/>
        <item x="2"/>
        <item t="default"/>
      </items>
    </pivotField>
    <pivotField showAll="0"/>
    <pivotField showAll="0"/>
    <pivotField showAll="0"/>
    <pivotField showAll="0"/>
    <pivotField showAll="0"/>
    <pivotField showAll="0"/>
    <pivotField showAll="0"/>
    <pivotField numFmtId="164" showAll="0"/>
    <pivotField showAll="0"/>
    <pivotField showAll="0"/>
    <pivotField numFmtId="164" showAll="0"/>
    <pivotField numFmtId="9" showAll="0"/>
    <pivotField showAll="0"/>
    <pivotField showAll="0"/>
    <pivotField showAll="0"/>
    <pivotField numFmtId="14"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9"/>
  </rowFields>
  <rowItems count="12">
    <i>
      <x v="1"/>
    </i>
    <i>
      <x v="2"/>
    </i>
    <i>
      <x v="3"/>
    </i>
    <i>
      <x v="4"/>
    </i>
    <i>
      <x v="5"/>
    </i>
    <i>
      <x v="6"/>
    </i>
    <i>
      <x v="7"/>
    </i>
    <i>
      <x v="8"/>
    </i>
    <i>
      <x v="9"/>
    </i>
    <i>
      <x v="10"/>
    </i>
    <i>
      <x v="11"/>
    </i>
    <i>
      <x v="12"/>
    </i>
  </rowItems>
  <colItems count="1">
    <i/>
  </colItems>
  <dataFields count="1">
    <dataField name="Count of Encounter_ID" fld="0" subtotal="count" baseField="0" baseItem="0"/>
  </dataFields>
  <formats count="1">
    <format dxfId="18">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B1839E-0572-44DF-9710-521F0F3511EE}" name="PivotTable9" cacheId="4"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2" rowHeaderCaption="Departments">
  <location ref="A18:B26" firstHeaderRow="1" firstDataRow="1" firstDataCol="1"/>
  <pivotFields count="30">
    <pivotField showAll="0"/>
    <pivotField axis="axisRow" showAll="0" sortType="descending">
      <items count="9">
        <item x="6"/>
        <item x="5"/>
        <item x="3"/>
        <item x="0"/>
        <item x="7"/>
        <item x="1"/>
        <item x="4"/>
        <item x="2"/>
        <item t="default"/>
      </items>
      <autoSortScope>
        <pivotArea dataOnly="0" outline="0" fieldPosition="0">
          <references count="1">
            <reference field="4294967294" count="1" selected="0">
              <x v="0"/>
            </reference>
          </references>
        </pivotArea>
      </autoSortScope>
    </pivotField>
    <pivotField showAll="0">
      <items count="9">
        <item x="5"/>
        <item x="4"/>
        <item x="3"/>
        <item x="0"/>
        <item x="6"/>
        <item x="2"/>
        <item x="1"/>
        <item x="7"/>
        <item t="default"/>
      </items>
    </pivotField>
    <pivotField showAll="0">
      <items count="4">
        <item x="2"/>
        <item x="1"/>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dataField="1" showAll="0"/>
    <pivotField showAll="0"/>
    <pivotField showAll="0">
      <items count="3">
        <item x="1"/>
        <item x="0"/>
        <item t="default"/>
      </items>
    </pivotField>
    <pivotField showAll="0"/>
    <pivotField showAll="0">
      <items count="17">
        <item x="4"/>
        <item x="14"/>
        <item x="7"/>
        <item x="8"/>
        <item x="6"/>
        <item x="1"/>
        <item x="11"/>
        <item x="9"/>
        <item x="3"/>
        <item x="0"/>
        <item x="12"/>
        <item x="5"/>
        <item x="15"/>
        <item x="10"/>
        <item x="13"/>
        <item x="2"/>
        <item t="default"/>
      </items>
    </pivotField>
    <pivotField showAll="0"/>
    <pivotField showAll="0"/>
    <pivotField showAll="0"/>
    <pivotField showAll="0"/>
    <pivotField showAll="0"/>
    <pivotField showAll="0"/>
    <pivotField showAll="0"/>
    <pivotField numFmtId="164" showAll="0"/>
    <pivotField showAll="0"/>
    <pivotField showAll="0"/>
    <pivotField numFmtId="164" showAll="0"/>
    <pivotField numFmtId="9" showAll="0"/>
    <pivotField showAll="0"/>
    <pivotField showAll="0"/>
    <pivotField showAll="0"/>
    <pivotField numFmtId="14" showAll="0"/>
    <pivotField numFmtId="164" showAll="0"/>
    <pivotField showAll="0"/>
    <pivotField showAll="0">
      <items count="15">
        <item x="0"/>
        <item x="1"/>
        <item x="2"/>
        <item x="3"/>
        <item x="4"/>
        <item x="5"/>
        <item x="6"/>
        <item x="7"/>
        <item x="8"/>
        <item x="9"/>
        <item x="10"/>
        <item x="11"/>
        <item x="12"/>
        <item x="13"/>
        <item t="default"/>
      </items>
    </pivotField>
  </pivotFields>
  <rowFields count="1">
    <field x="1"/>
  </rowFields>
  <rowItems count="8">
    <i>
      <x v="5"/>
    </i>
    <i>
      <x v="4"/>
    </i>
    <i>
      <x v="7"/>
    </i>
    <i>
      <x v="3"/>
    </i>
    <i>
      <x/>
    </i>
    <i>
      <x v="2"/>
    </i>
    <i>
      <x v="6"/>
    </i>
    <i>
      <x v="1"/>
    </i>
  </rowItems>
  <colItems count="1">
    <i/>
  </colItems>
  <dataFields count="1">
    <dataField name="Average of Length_of_Stay_Days" fld="6" subtotal="average" baseField="1" baseItem="0" numFmtId="1"/>
  </dataFields>
  <formats count="1">
    <format dxfId="15">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F5B51C-FB47-418A-ACDE-5A5307A68E40}" name="PivotTable8" cacheId="4"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5" rowHeaderCaption="Departments">
  <location ref="A2:B10" firstHeaderRow="1" firstDataRow="1" firstDataCol="1"/>
  <pivotFields count="30">
    <pivotField dataField="1" showAll="0"/>
    <pivotField axis="axisRow" showAll="0" sortType="ascending">
      <items count="9">
        <item x="6"/>
        <item x="5"/>
        <item x="3"/>
        <item x="0"/>
        <item x="7"/>
        <item x="1"/>
        <item x="4"/>
        <item x="2"/>
        <item t="default"/>
      </items>
      <autoSortScope>
        <pivotArea dataOnly="0" outline="0" fieldPosition="0">
          <references count="1">
            <reference field="4294967294" count="1" selected="0">
              <x v="0"/>
            </reference>
          </references>
        </pivotArea>
      </autoSortScope>
    </pivotField>
    <pivotField showAll="0">
      <items count="9">
        <item x="5"/>
        <item x="4"/>
        <item x="3"/>
        <item x="0"/>
        <item x="6"/>
        <item x="2"/>
        <item x="1"/>
        <item x="7"/>
        <item t="default"/>
      </items>
    </pivotField>
    <pivotField showAll="0">
      <items count="4">
        <item x="2"/>
        <item x="1"/>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items count="3">
        <item x="1"/>
        <item x="0"/>
        <item t="default"/>
      </items>
    </pivotField>
    <pivotField showAll="0"/>
    <pivotField showAll="0">
      <items count="17">
        <item x="4"/>
        <item x="14"/>
        <item x="7"/>
        <item x="8"/>
        <item x="6"/>
        <item x="1"/>
        <item x="11"/>
        <item x="9"/>
        <item x="3"/>
        <item x="0"/>
        <item x="12"/>
        <item x="5"/>
        <item x="15"/>
        <item x="10"/>
        <item x="13"/>
        <item x="2"/>
        <item t="default"/>
      </items>
    </pivotField>
    <pivotField showAll="0"/>
    <pivotField showAll="0"/>
    <pivotField showAll="0"/>
    <pivotField showAll="0"/>
    <pivotField showAll="0"/>
    <pivotField showAll="0"/>
    <pivotField showAll="0"/>
    <pivotField numFmtId="164" showAll="0"/>
    <pivotField showAll="0"/>
    <pivotField showAll="0"/>
    <pivotField numFmtId="164" showAll="0"/>
    <pivotField numFmtId="9" showAll="0"/>
    <pivotField showAll="0"/>
    <pivotField showAll="0"/>
    <pivotField showAll="0"/>
    <pivotField numFmtId="14" showAll="0"/>
    <pivotField numFmtId="164" showAll="0"/>
    <pivotField showAll="0"/>
    <pivotField showAll="0">
      <items count="15">
        <item x="0"/>
        <item x="1"/>
        <item x="2"/>
        <item x="3"/>
        <item x="4"/>
        <item x="5"/>
        <item x="6"/>
        <item x="7"/>
        <item x="8"/>
        <item x="9"/>
        <item x="10"/>
        <item x="11"/>
        <item x="12"/>
        <item x="13"/>
        <item t="default"/>
      </items>
    </pivotField>
  </pivotFields>
  <rowFields count="1">
    <field x="1"/>
  </rowFields>
  <rowItems count="8">
    <i>
      <x v="1"/>
    </i>
    <i>
      <x v="6"/>
    </i>
    <i>
      <x v="7"/>
    </i>
    <i>
      <x/>
    </i>
    <i>
      <x v="5"/>
    </i>
    <i>
      <x v="3"/>
    </i>
    <i>
      <x v="4"/>
    </i>
    <i>
      <x v="2"/>
    </i>
  </rowItems>
  <colItems count="1">
    <i/>
  </colItems>
  <dataFields count="1">
    <dataField name="Count of Encounter_ID" fld="0" subtotal="count" baseField="0" baseItem="0"/>
  </dataFields>
  <chartFormats count="3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4"/>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2" format="9">
      <pivotArea type="data" outline="0" fieldPosition="0">
        <references count="2">
          <reference field="4294967294" count="1" selected="0">
            <x v="0"/>
          </reference>
          <reference field="1" count="1" selected="0">
            <x v="3"/>
          </reference>
        </references>
      </pivotArea>
    </chartFormat>
    <chartFormat chart="2" format="10">
      <pivotArea type="data" outline="0" fieldPosition="0">
        <references count="2">
          <reference field="4294967294" count="1" selected="0">
            <x v="0"/>
          </reference>
          <reference field="1" count="1" selected="0">
            <x v="5"/>
          </reference>
        </references>
      </pivotArea>
    </chartFormat>
    <chartFormat chart="2" format="11">
      <pivotArea type="data" outline="0" fieldPosition="0">
        <references count="2">
          <reference field="4294967294" count="1" selected="0">
            <x v="0"/>
          </reference>
          <reference field="1" count="1" selected="0">
            <x v="0"/>
          </reference>
        </references>
      </pivotArea>
    </chartFormat>
    <chartFormat chart="2" format="12">
      <pivotArea type="data" outline="0" fieldPosition="0">
        <references count="2">
          <reference field="4294967294" count="1" selected="0">
            <x v="0"/>
          </reference>
          <reference field="1" count="1" selected="0">
            <x v="7"/>
          </reference>
        </references>
      </pivotArea>
    </chartFormat>
    <chartFormat chart="2" format="13">
      <pivotArea type="data" outline="0" fieldPosition="0">
        <references count="2">
          <reference field="4294967294" count="1" selected="0">
            <x v="0"/>
          </reference>
          <reference field="1" count="1" selected="0">
            <x v="6"/>
          </reference>
        </references>
      </pivotArea>
    </chartFormat>
    <chartFormat chart="2" format="14">
      <pivotArea type="data" outline="0" fieldPosition="0">
        <references count="2">
          <reference field="4294967294" count="1" selected="0">
            <x v="0"/>
          </reference>
          <reference field="1" count="1" selected="0">
            <x v="1"/>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1" count="1" selected="0">
            <x v="1"/>
          </reference>
        </references>
      </pivotArea>
    </chartFormat>
    <chartFormat chart="3" format="17">
      <pivotArea type="data" outline="0" fieldPosition="0">
        <references count="2">
          <reference field="4294967294" count="1" selected="0">
            <x v="0"/>
          </reference>
          <reference field="1" count="1" selected="0">
            <x v="6"/>
          </reference>
        </references>
      </pivotArea>
    </chartFormat>
    <chartFormat chart="3" format="18">
      <pivotArea type="data" outline="0" fieldPosition="0">
        <references count="2">
          <reference field="4294967294" count="1" selected="0">
            <x v="0"/>
          </reference>
          <reference field="1" count="1" selected="0">
            <x v="7"/>
          </reference>
        </references>
      </pivotArea>
    </chartFormat>
    <chartFormat chart="3" format="19">
      <pivotArea type="data" outline="0" fieldPosition="0">
        <references count="2">
          <reference field="4294967294" count="1" selected="0">
            <x v="0"/>
          </reference>
          <reference field="1" count="1" selected="0">
            <x v="0"/>
          </reference>
        </references>
      </pivotArea>
    </chartFormat>
    <chartFormat chart="3" format="20">
      <pivotArea type="data" outline="0" fieldPosition="0">
        <references count="2">
          <reference field="4294967294" count="1" selected="0">
            <x v="0"/>
          </reference>
          <reference field="1" count="1" selected="0">
            <x v="5"/>
          </reference>
        </references>
      </pivotArea>
    </chartFormat>
    <chartFormat chart="3" format="21">
      <pivotArea type="data" outline="0" fieldPosition="0">
        <references count="2">
          <reference field="4294967294" count="1" selected="0">
            <x v="0"/>
          </reference>
          <reference field="1" count="1" selected="0">
            <x v="3"/>
          </reference>
        </references>
      </pivotArea>
    </chartFormat>
    <chartFormat chart="3" format="22">
      <pivotArea type="data" outline="0" fieldPosition="0">
        <references count="2">
          <reference field="4294967294" count="1" selected="0">
            <x v="0"/>
          </reference>
          <reference field="1" count="1" selected="0">
            <x v="4"/>
          </reference>
        </references>
      </pivotArea>
    </chartFormat>
    <chartFormat chart="3" format="23">
      <pivotArea type="data" outline="0" fieldPosition="0">
        <references count="2">
          <reference field="4294967294" count="1" selected="0">
            <x v="0"/>
          </reference>
          <reference field="1" count="1" selected="0">
            <x v="2"/>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1" count="1" selected="0">
            <x v="1"/>
          </reference>
        </references>
      </pivotArea>
    </chartFormat>
    <chartFormat chart="4" format="17">
      <pivotArea type="data" outline="0" fieldPosition="0">
        <references count="2">
          <reference field="4294967294" count="1" selected="0">
            <x v="0"/>
          </reference>
          <reference field="1" count="1" selected="0">
            <x v="6"/>
          </reference>
        </references>
      </pivotArea>
    </chartFormat>
    <chartFormat chart="4" format="18">
      <pivotArea type="data" outline="0" fieldPosition="0">
        <references count="2">
          <reference field="4294967294" count="1" selected="0">
            <x v="0"/>
          </reference>
          <reference field="1" count="1" selected="0">
            <x v="7"/>
          </reference>
        </references>
      </pivotArea>
    </chartFormat>
    <chartFormat chart="4" format="19">
      <pivotArea type="data" outline="0" fieldPosition="0">
        <references count="2">
          <reference field="4294967294" count="1" selected="0">
            <x v="0"/>
          </reference>
          <reference field="1" count="1" selected="0">
            <x v="0"/>
          </reference>
        </references>
      </pivotArea>
    </chartFormat>
    <chartFormat chart="4" format="20">
      <pivotArea type="data" outline="0" fieldPosition="0">
        <references count="2">
          <reference field="4294967294" count="1" selected="0">
            <x v="0"/>
          </reference>
          <reference field="1" count="1" selected="0">
            <x v="5"/>
          </reference>
        </references>
      </pivotArea>
    </chartFormat>
    <chartFormat chart="4" format="21">
      <pivotArea type="data" outline="0" fieldPosition="0">
        <references count="2">
          <reference field="4294967294" count="1" selected="0">
            <x v="0"/>
          </reference>
          <reference field="1" count="1" selected="0">
            <x v="3"/>
          </reference>
        </references>
      </pivotArea>
    </chartFormat>
    <chartFormat chart="4" format="22">
      <pivotArea type="data" outline="0" fieldPosition="0">
        <references count="2">
          <reference field="4294967294" count="1" selected="0">
            <x v="0"/>
          </reference>
          <reference field="1" count="1" selected="0">
            <x v="4"/>
          </reference>
        </references>
      </pivotArea>
    </chartFormat>
    <chartFormat chart="4" format="2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FEAC16B-62E2-49AD-9091-23642BB8C759}" name="PivotTable12" cacheId="4"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5" rowHeaderCaption="Departments">
  <location ref="A65:C73" firstHeaderRow="0" firstDataRow="1" firstDataCol="1"/>
  <pivotFields count="30">
    <pivotField dataField="1" showAll="0"/>
    <pivotField axis="axisRow" showAll="0" sortType="descending">
      <items count="9">
        <item x="6"/>
        <item x="5"/>
        <item x="3"/>
        <item x="0"/>
        <item x="7"/>
        <item x="1"/>
        <item x="4"/>
        <item x="2"/>
        <item t="default"/>
      </items>
      <autoSortScope>
        <pivotArea dataOnly="0" outline="0" fieldPosition="0">
          <references count="1">
            <reference field="4294967294" count="1" selected="0">
              <x v="0"/>
            </reference>
          </references>
        </pivotArea>
      </autoSortScope>
    </pivotField>
    <pivotField showAll="0">
      <items count="9">
        <item x="5"/>
        <item x="4"/>
        <item x="3"/>
        <item x="0"/>
        <item x="6"/>
        <item x="2"/>
        <item x="1"/>
        <item x="7"/>
        <item t="default"/>
      </items>
    </pivotField>
    <pivotField showAll="0">
      <items count="4">
        <item x="2"/>
        <item x="1"/>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items count="3">
        <item x="1"/>
        <item x="0"/>
        <item t="default"/>
      </items>
    </pivotField>
    <pivotField showAll="0"/>
    <pivotField showAll="0">
      <items count="17">
        <item x="4"/>
        <item x="14"/>
        <item x="7"/>
        <item x="8"/>
        <item x="6"/>
        <item x="1"/>
        <item x="11"/>
        <item x="9"/>
        <item x="3"/>
        <item x="0"/>
        <item x="12"/>
        <item x="5"/>
        <item x="15"/>
        <item x="10"/>
        <item x="13"/>
        <item x="2"/>
        <item t="default"/>
      </items>
    </pivotField>
    <pivotField showAll="0"/>
    <pivotField showAll="0"/>
    <pivotField dataField="1" showAll="0"/>
    <pivotField showAll="0"/>
    <pivotField showAll="0"/>
    <pivotField showAll="0"/>
    <pivotField showAll="0"/>
    <pivotField numFmtId="164" showAll="0"/>
    <pivotField showAll="0"/>
    <pivotField showAll="0"/>
    <pivotField numFmtId="164" showAll="0"/>
    <pivotField numFmtId="9" showAll="0"/>
    <pivotField showAll="0"/>
    <pivotField showAll="0"/>
    <pivotField showAll="0"/>
    <pivotField numFmtId="14" showAll="0"/>
    <pivotField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8">
    <i>
      <x v="2"/>
    </i>
    <i>
      <x v="4"/>
    </i>
    <i>
      <x v="3"/>
    </i>
    <i>
      <x v="5"/>
    </i>
    <i>
      <x/>
    </i>
    <i>
      <x v="7"/>
    </i>
    <i>
      <x v="6"/>
    </i>
    <i>
      <x v="1"/>
    </i>
  </rowItems>
  <colFields count="1">
    <field x="-2"/>
  </colFields>
  <colItems count="2">
    <i>
      <x/>
    </i>
    <i i="1">
      <x v="1"/>
    </i>
  </colItems>
  <dataFields count="2">
    <dataField name="Count of 30Day_Readmission" fld="13" subtotal="count" baseField="0" baseItem="0"/>
    <dataField name="Count of Encounter_ID" fld="0" subtotal="count" baseField="0" baseItem="0"/>
  </dataFields>
  <formats count="1">
    <format dxfId="16">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1" count="1" selected="0">
            <x v="2"/>
          </reference>
        </references>
      </pivotArea>
    </chartFormat>
    <chartFormat chart="4" format="3">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2D50F5-B757-4142-A7DA-1DC557C58D60}" name="PivotTable11" cacheId="4"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4" rowHeaderCaption="Departments">
  <location ref="A49:B52" firstHeaderRow="1" firstDataRow="1" firstDataCol="1"/>
  <pivotFields count="30">
    <pivotField dataField="1" showAll="0"/>
    <pivotField showAll="0">
      <items count="9">
        <item x="6"/>
        <item x="5"/>
        <item x="3"/>
        <item x="0"/>
        <item x="7"/>
        <item x="1"/>
        <item x="4"/>
        <item x="2"/>
        <item t="default"/>
      </items>
    </pivotField>
    <pivotField showAll="0">
      <items count="9">
        <item x="5"/>
        <item x="4"/>
        <item x="3"/>
        <item x="0"/>
        <item x="6"/>
        <item x="2"/>
        <item x="1"/>
        <item x="7"/>
        <item t="default"/>
      </items>
    </pivotField>
    <pivotField axis="axisRow" showAll="0">
      <items count="4">
        <item x="2"/>
        <item x="1"/>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pivotField showAll="0">
      <items count="3">
        <item x="1"/>
        <item x="0"/>
        <item t="default"/>
      </items>
    </pivotField>
    <pivotField showAll="0"/>
    <pivotField showAll="0">
      <items count="17">
        <item x="4"/>
        <item x="14"/>
        <item x="7"/>
        <item x="8"/>
        <item x="6"/>
        <item x="1"/>
        <item x="11"/>
        <item x="9"/>
        <item x="3"/>
        <item x="0"/>
        <item x="12"/>
        <item x="5"/>
        <item x="15"/>
        <item x="10"/>
        <item x="13"/>
        <item x="2"/>
        <item t="default"/>
      </items>
    </pivotField>
    <pivotField showAll="0"/>
    <pivotField showAll="0"/>
    <pivotField showAll="0"/>
    <pivotField showAll="0"/>
    <pivotField showAll="0"/>
    <pivotField showAll="0"/>
    <pivotField showAll="0"/>
    <pivotField numFmtId="164" showAll="0"/>
    <pivotField showAll="0"/>
    <pivotField showAll="0"/>
    <pivotField numFmtId="164" showAll="0"/>
    <pivotField numFmtId="9" showAll="0"/>
    <pivotField showAll="0"/>
    <pivotField showAll="0"/>
    <pivotField showAll="0"/>
    <pivotField numFmtId="14" showAll="0"/>
    <pivotField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i>
    <i>
      <x v="1"/>
    </i>
    <i>
      <x v="2"/>
    </i>
  </rowItems>
  <colItems count="1">
    <i/>
  </colItems>
  <dataFields count="1">
    <dataField name="Count of Encounter_ID" fld="0" subtotal="count" baseField="0" baseItem="0"/>
  </dataFields>
  <formats count="1">
    <format dxfId="17">
      <pivotArea outline="0" collapsedLevelsAreSubtotals="1" fieldPosition="0"/>
    </format>
  </formats>
  <chartFormats count="5">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3" count="1" selected="0">
            <x v="0"/>
          </reference>
        </references>
      </pivotArea>
    </chartFormat>
    <chartFormat chart="3" format="5">
      <pivotArea type="data" outline="0" fieldPosition="0">
        <references count="2">
          <reference field="4294967294" count="1" selected="0">
            <x v="0"/>
          </reference>
          <reference field="3" count="1" selected="0">
            <x v="1"/>
          </reference>
        </references>
      </pivotArea>
    </chartFormat>
    <chartFormat chart="3" format="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D810FB2A-7265-4F7B-A00C-5AECF235C996}" autoFormatId="16" applyNumberFormats="0" applyBorderFormats="0" applyFontFormats="0" applyPatternFormats="0" applyAlignmentFormats="0" applyWidthHeightFormats="0">
  <queryTableRefresh nextId="30" unboundColumnsRight="7">
    <queryTableFields count="29">
      <queryTableField id="1" name="Encounter_ID" tableColumnId="1"/>
      <queryTableField id="2" name="Department" tableColumnId="2"/>
      <queryTableField id="3" name="Ward" tableColumnId="3"/>
      <queryTableField id="4" name="Admission_Type" tableColumnId="4"/>
      <queryTableField id="5" name="Admission_Date" tableColumnId="5"/>
      <queryTableField id="6" name="Discharge_Date" tableColumnId="6"/>
      <queryTableField id="7" name="Length_of_Stay_Days" tableColumnId="7"/>
      <queryTableField id="8" name="Patient_Age" tableColumnId="8"/>
      <queryTableField id="9" name="Patient_Gender" tableColumnId="9"/>
      <queryTableField id="10" name="Ethnicity" tableColumnId="10"/>
      <queryTableField id="11" name="Consultant_Name" tableColumnId="11"/>
      <queryTableField id="12" name="Primary_Diagnosis" tableColumnId="12"/>
      <queryTableField id="13" name="Discharge_Method" tableColumnId="13"/>
      <queryTableField id="14" name="30Day_Readmission" tableColumnId="14"/>
      <queryTableField id="15" name="Occupied_Beds" tableColumnId="15"/>
      <queryTableField id="16" name="Total_Beds" tableColumnId="16"/>
      <queryTableField id="17" name="Bed_Occupancy_Rate" tableColumnId="17"/>
      <queryTableField id="18" name="Daily_Bed_Cost_GBP" tableColumnId="18"/>
      <queryTableField id="19" name="Total_Encounter_Cost_GBP" tableColumnId="19"/>
      <queryTableField id="20" name="Tariff_Code" tableColumnId="20"/>
      <queryTableField id="21" name="Specialty_Cost_Centre" tableColumnId="21"/>
      <queryTableField id="22" name="Treatment_Cost_GBP"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36B64FB-0ABB-4532-B867-9DB899407114}" sourceName="Department">
  <pivotTables>
    <pivotTable tabId="4" name="PivotTable8"/>
    <pivotTable tabId="4" name="PivotTable10"/>
    <pivotTable tabId="4" name="PivotTable11"/>
    <pivotTable tabId="4" name="PivotTable12"/>
    <pivotTable tabId="4" name="PivotTable9"/>
    <pivotTable tabId="3" name="PivotTable1"/>
    <pivotTable tabId="3" name="PivotTable2"/>
    <pivotTable tabId="3" name="PivotTable3"/>
    <pivotTable tabId="3" name="PivotTable4"/>
    <pivotTable tabId="3" name="PivotTable6"/>
    <pivotTable tabId="3" name="PivotTable7"/>
  </pivotTables>
  <data>
    <tabular pivotCacheId="932684060">
      <items count="8">
        <i x="6" s="1"/>
        <i x="5" s="1"/>
        <i x="3" s="1"/>
        <i x="0" s="1"/>
        <i x="7"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d" xr10:uid="{F4C9FFF3-6BC2-4320-9106-B254A9D3B917}" sourceName="Ward">
  <pivotTables>
    <pivotTable tabId="4" name="PivotTable8"/>
    <pivotTable tabId="4" name="PivotTable10"/>
    <pivotTable tabId="4" name="PivotTable11"/>
    <pivotTable tabId="4" name="PivotTable12"/>
    <pivotTable tabId="4" name="PivotTable9"/>
    <pivotTable tabId="3" name="PivotTable1"/>
    <pivotTable tabId="3" name="PivotTable2"/>
    <pivotTable tabId="3" name="PivotTable3"/>
    <pivotTable tabId="3" name="PivotTable4"/>
    <pivotTable tabId="3" name="PivotTable6"/>
    <pivotTable tabId="3" name="PivotTable7"/>
  </pivotTables>
  <data>
    <tabular pivotCacheId="932684060">
      <items count="8">
        <i x="5" s="1"/>
        <i x="4" s="1"/>
        <i x="3" s="1"/>
        <i x="0" s="1"/>
        <i x="6" s="1"/>
        <i x="2"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103C7054-6C62-45FA-950A-DF674B1966C7}" sourceName="Admission_Type">
  <pivotTables>
    <pivotTable tabId="4" name="PivotTable8"/>
    <pivotTable tabId="4" name="PivotTable10"/>
    <pivotTable tabId="4" name="PivotTable11"/>
    <pivotTable tabId="4" name="PivotTable12"/>
    <pivotTable tabId="4" name="PivotTable9"/>
    <pivotTable tabId="3" name="PivotTable1"/>
    <pivotTable tabId="3" name="PivotTable2"/>
    <pivotTable tabId="3" name="PivotTable3"/>
    <pivotTable tabId="3" name="PivotTable4"/>
    <pivotTable tabId="3" name="PivotTable6"/>
    <pivotTable tabId="3" name="PivotTable7"/>
  </pivotTables>
  <data>
    <tabular pivotCacheId="932684060">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Gender" xr10:uid="{5E23DE7F-EC7D-4D9A-82D1-EDE8EA0DDC0C}" sourceName="Patient_Gender">
  <pivotTables>
    <pivotTable tabId="4" name="PivotTable8"/>
    <pivotTable tabId="4" name="PivotTable10"/>
    <pivotTable tabId="4" name="PivotTable11"/>
    <pivotTable tabId="4" name="PivotTable12"/>
    <pivotTable tabId="4" name="PivotTable9"/>
    <pivotTable tabId="3" name="PivotTable1"/>
    <pivotTable tabId="3" name="PivotTable2"/>
    <pivotTable tabId="3" name="PivotTable3"/>
    <pivotTable tabId="3" name="PivotTable4"/>
    <pivotTable tabId="3" name="PivotTable6"/>
    <pivotTable tabId="3" name="PivotTable7"/>
  </pivotTables>
  <data>
    <tabular pivotCacheId="932684060">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ultant_Name" xr10:uid="{D2BE1209-635B-46FB-A026-C758F47571A4}" sourceName="Consultant_Name">
  <pivotTables>
    <pivotTable tabId="4" name="PivotTable8"/>
    <pivotTable tabId="4" name="PivotTable1"/>
    <pivotTable tabId="4" name="PivotTable10"/>
    <pivotTable tabId="4" name="PivotTable11"/>
    <pivotTable tabId="4" name="PivotTable12"/>
    <pivotTable tabId="4" name="PivotTable2"/>
    <pivotTable tabId="4" name="PivotTable9"/>
    <pivotTable tabId="3" name="PivotTable1"/>
    <pivotTable tabId="3" name="PivotTable2"/>
    <pivotTable tabId="3" name="PivotTable3"/>
    <pivotTable tabId="3" name="PivotTable4"/>
    <pivotTable tabId="3" name="PivotTable6"/>
    <pivotTable tabId="3" name="PivotTable7"/>
  </pivotTables>
  <data>
    <tabular pivotCacheId="932684060">
      <items count="16">
        <i x="4" s="1"/>
        <i x="14" s="1"/>
        <i x="7" s="1"/>
        <i x="8" s="1"/>
        <i x="6" s="1"/>
        <i x="1" s="1"/>
        <i x="11" s="1"/>
        <i x="9" s="1"/>
        <i x="3" s="1"/>
        <i x="0" s="1"/>
        <i x="12" s="1"/>
        <i x="5" s="1"/>
        <i x="15" s="1"/>
        <i x="10" s="1"/>
        <i x="1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3189336-ECDD-497D-A489-F36914A0E770}" cache="Slicer_Department" caption="Department" columnCount="2" rowHeight="180000"/>
  <slicer name="Ward 1" xr10:uid="{58FBB96C-DE4E-480B-851C-EB3B88694496}" cache="Slicer_Ward" caption="Ward" columnCount="2" rowHeight="180000"/>
  <slicer name="Admission_Type 1" xr10:uid="{56CA2A85-D682-4940-A5CF-2D0A7CBC75E6}" cache="Slicer_Admission_Type" caption="Admission_Type" columnCount="3" rowHeight="180000"/>
  <slicer name="Patient_Gender 1" xr10:uid="{04E995D7-8F2E-4F84-A77F-A9A61670C3F4}" cache="Slicer_Patient_Gender" caption="Patient_Gender" columnCount="2" rowHeight="241300"/>
  <slicer name="Consultant_Name 1" xr10:uid="{ED5C9653-54D9-4B98-B78C-B477852FAAEE}" cache="Slicer_Consultant_Name" caption="Consultant_Name" columnCount="2"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46ACBEE-40DC-4AD2-A855-2FCFC5187A22}" cache="Slicer_Department" caption="Department" columnCount="2" style="SlicerStyleLight1" rowHeight="180000"/>
  <slicer name="Ward" xr10:uid="{1EA97119-5843-4AC1-B57F-1AE343EEF8A4}" cache="Slicer_Ward" caption="Ward" columnCount="2" style="SlicerStyleLight1" rowHeight="180000"/>
  <slicer name="Admission_Type" xr10:uid="{9BEF0850-0BC5-41A2-B646-2410FDFD5370}" cache="Slicer_Admission_Type" caption="Admission_Type" columnCount="3" style="SlicerStyleLight1" rowHeight="180000"/>
  <slicer name="Patient_Gender" xr10:uid="{666EB0C0-164B-4D0D-BB4A-C93DC8DD71CF}" cache="Slicer_Patient_Gender" caption="Patient_Gender" columnCount="2" style="SlicerStyleLight1" rowHeight="241300"/>
  <slicer name="Consultant_Name" xr10:uid="{B596852B-4FD3-4AFA-8B27-3584ACA5F4E9}" cache="Slicer_Consultant_Name" caption="Consultant_Name" columnCount="2"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D3077A-0FAC-4E1E-ABB5-0E0A065742A7}" name="Merged_Clinical_Finance_Data" displayName="Merged_Clinical_Finance_Data" ref="A1:AC301" tableType="queryTable" totalsRowShown="0">
  <autoFilter ref="A1:AC301" xr:uid="{0CD3077A-0FAC-4E1E-ABB5-0E0A065742A7}"/>
  <tableColumns count="29">
    <tableColumn id="1" xr3:uid="{BA4009D8-65E7-4F64-A03F-621FC8DA2839}" uniqueName="1" name="Encounter_ID" queryTableFieldId="1" dataDxfId="80"/>
    <tableColumn id="2" xr3:uid="{86A895BC-039F-447A-BC12-65CC68D9E834}" uniqueName="2" name="Department" queryTableFieldId="2" dataDxfId="79"/>
    <tableColumn id="3" xr3:uid="{76D078C8-D3B1-4B71-8528-8DF16FF9289F}" uniqueName="3" name="Ward" queryTableFieldId="3" dataDxfId="78"/>
    <tableColumn id="4" xr3:uid="{03F7F6A2-6DEC-4BB4-B536-8F188F3CD596}" uniqueName="4" name="Admission_Type" queryTableFieldId="4" dataDxfId="77"/>
    <tableColumn id="5" xr3:uid="{AB99EADE-8C30-47A3-A504-FF636C78D0B8}" uniqueName="5" name="Admission_Date" queryTableFieldId="5" dataDxfId="76"/>
    <tableColumn id="6" xr3:uid="{46DD618D-AE30-4AD9-9AB1-8FD9DC19AEE7}" uniqueName="6" name="Discharge_Date" queryTableFieldId="6" dataDxfId="75"/>
    <tableColumn id="7" xr3:uid="{A2C0B1D7-E9FB-4143-A864-D47810AD566C}" uniqueName="7" name="Length_of_Stay_Days" queryTableFieldId="7"/>
    <tableColumn id="8" xr3:uid="{98981F7E-9279-4C37-99F8-FED315230CAD}" uniqueName="8" name="Patient_Age" queryTableFieldId="8"/>
    <tableColumn id="9" xr3:uid="{ECCD23A8-B20D-4AAD-B038-EB87073C2825}" uniqueName="9" name="Patient_Gender" queryTableFieldId="9" dataDxfId="74"/>
    <tableColumn id="10" xr3:uid="{DCFD8CB3-3211-4827-A093-ED9C1D198698}" uniqueName="10" name="Ethnicity" queryTableFieldId="10" dataDxfId="73"/>
    <tableColumn id="11" xr3:uid="{4A9C0AE6-8697-432A-BDF2-794CAE9F18EA}" uniqueName="11" name="Consultant_Name" queryTableFieldId="11" dataDxfId="72"/>
    <tableColumn id="12" xr3:uid="{D69B686F-77EA-47FD-9673-94D2B399ABB8}" uniqueName="12" name="Primary_Diagnosis" queryTableFieldId="12" dataDxfId="71"/>
    <tableColumn id="13" xr3:uid="{43B8F1E5-11BA-4899-978E-20FBCC48923E}" uniqueName="13" name="Discharge_Method" queryTableFieldId="13" dataDxfId="70"/>
    <tableColumn id="14" xr3:uid="{0336FF96-557D-44EA-B507-E139CAC9C97B}" uniqueName="14" name="30Day_Readmission" queryTableFieldId="14" dataDxfId="69"/>
    <tableColumn id="15" xr3:uid="{F196FEA6-C35E-496A-B32B-87C21949E3B1}" uniqueName="15" name="Occupied_Beds" queryTableFieldId="15"/>
    <tableColumn id="16" xr3:uid="{1EFBA33B-8E61-4595-88E4-E95B33AE41CF}" uniqueName="16" name="Total_Beds" queryTableFieldId="16"/>
    <tableColumn id="17" xr3:uid="{00CF68F2-253F-4A3F-BDE0-6762CC521763}" uniqueName="17" name="Bed_Occupancy_Rate" queryTableFieldId="17"/>
    <tableColumn id="18" xr3:uid="{2A67D1F8-98D6-44F2-A007-1E033B22FEBB}" uniqueName="18" name="Daily_Bed_Cost_GBP" queryTableFieldId="18"/>
    <tableColumn id="19" xr3:uid="{AF33812A-3CD7-40FE-8BC7-3D16A137142E}" uniqueName="19" name="Total_Encounter_Cost_Naira" queryTableFieldId="19" dataDxfId="68"/>
    <tableColumn id="20" xr3:uid="{8CE27F81-3628-48D8-9F57-74B38DE672FC}" uniqueName="20" name="Tariff_Code" queryTableFieldId="20" dataDxfId="67"/>
    <tableColumn id="21" xr3:uid="{EA581484-D505-4B7A-845C-4B71933077A9}" uniqueName="21" name="Specialty_Cost_Centre" queryTableFieldId="21" dataDxfId="66"/>
    <tableColumn id="22" xr3:uid="{6D2D7095-7FCF-4523-8C89-AE60D7C08A06}" uniqueName="22" name="Treatment_Cost_Naira" queryTableFieldId="22" dataDxfId="65"/>
    <tableColumn id="23" xr3:uid="{A2358F96-6C95-435F-9A2E-2729FDA1F8D7}" uniqueName="23" name="Occupancy_Rate_Fixed" queryTableFieldId="23" dataCellStyle="Percent">
      <calculatedColumnFormula>Merged_Clinical_Finance_Data[[#This Row],[Occupied_Beds]]/Merged_Clinical_Finance_Data[[#This Row],[Total_Beds]]</calculatedColumnFormula>
    </tableColumn>
    <tableColumn id="24" xr3:uid="{FDFB8228-304F-4E98-BD65-DFA6F6716037}" uniqueName="24" name="Readmit_Flag" queryTableFieldId="24" dataDxfId="64">
      <calculatedColumnFormula>IF(Merged_Clinical_Finance_Data[[#This Row],[30Day_Readmission]]="Yes",1,0)</calculatedColumnFormula>
    </tableColumn>
    <tableColumn id="25" xr3:uid="{F2E3D156-5615-475F-9A1E-C9B983E13FEF}" uniqueName="25" name="Age_Band" queryTableFieldId="25" dataDxfId="63">
      <calculatedColumnFormula array="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calculatedColumnFormula>
    </tableColumn>
    <tableColumn id="26" xr3:uid="{A9251248-3A21-4911-8658-FA0F773BB0D1}" uniqueName="26" name="LOS_Band" queryTableFieldId="26" dataDxfId="62">
      <calculatedColumnFormula array="1">_xlfn.IFS(Merged_Clinical_Finance_Data[[#This Row],[Length_of_Stay_Days]]&lt;3,"Short (&lt;3)",Merged_Clinical_Finance_Data[[#This Row],[Length_of_Stay_Days]]&lt;=7,"Medium (3-7)",TRUE,"Long (&gt;7)")</calculatedColumnFormula>
    </tableColumn>
    <tableColumn id="27" xr3:uid="{7033E43A-2BE8-47A3-9B96-FF9CBA3CE7C5}" uniqueName="27" name="Admission_Month" queryTableFieldId="27" dataDxfId="61">
      <calculatedColumnFormula>EOMONTH(Merged_Clinical_Finance_Data[[#This Row],[Admission_Date]],-1)+1</calculatedColumnFormula>
    </tableColumn>
    <tableColumn id="28" xr3:uid="{0C974B65-1931-41D8-94F3-8371EF8D72F4}" uniqueName="28" name="Cost_Check" queryTableFieldId="28" dataDxfId="60">
      <calculatedColumnFormula>Merged_Clinical_Finance_Data[[#This Row],[Daily_Bed_Cost_GBP]]*Merged_Clinical_Finance_Data[[#This Row],[Length_of_Stay_Days]]</calculatedColumnFormula>
    </tableColumn>
    <tableColumn id="29" xr3:uid="{AEF53BD5-D6C5-4AF5-AB0C-DA938AC3AD48}" uniqueName="29" name="High_Cost_Flag" queryTableFieldId="29" dataDxfId="59">
      <calculatedColumnFormula>IF(Merged_Clinical_Finance_Data[[#This Row],[Total_Encounter_Cost_Naira]]&gt;AVERAGE(Merged_Clinical_Finance_Data[[#This Row],[Total_Encounter_Cost_Naira]]),"High","Normal")</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MY DASHBOARD">
      <a:dk1>
        <a:sysClr val="windowText" lastClr="000000"/>
      </a:dk1>
      <a:lt1>
        <a:sysClr val="window" lastClr="FFFFFF"/>
      </a:lt1>
      <a:dk2>
        <a:srgbClr val="44546A"/>
      </a:dk2>
      <a:lt2>
        <a:srgbClr val="E7E6E6"/>
      </a:lt2>
      <a:accent1>
        <a:srgbClr val="1F3A5F"/>
      </a:accent1>
      <a:accent2>
        <a:srgbClr val="2F6DB5"/>
      </a:accent2>
      <a:accent3>
        <a:srgbClr val="9DBFE3"/>
      </a:accent3>
      <a:accent4>
        <a:srgbClr val="4A5560"/>
      </a:accent4>
      <a:accent5>
        <a:srgbClr val="8A939D"/>
      </a:accent5>
      <a:accent6>
        <a:srgbClr val="D9DEE3"/>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dmission_Date" xr10:uid="{665E7BE8-198F-4D09-9F06-A0CD437E30C7}" sourceName="Admission_Date">
  <pivotTables>
    <pivotTable tabId="4" name="PivotTable8"/>
    <pivotTable tabId="4" name="PivotTable10"/>
    <pivotTable tabId="4" name="PivotTable11"/>
    <pivotTable tabId="4" name="PivotTable12"/>
    <pivotTable tabId="4" name="PivotTable9"/>
    <pivotTable tabId="3" name="PivotTable1"/>
    <pivotTable tabId="3" name="PivotTable2"/>
    <pivotTable tabId="3" name="PivotTable3"/>
    <pivotTable tabId="3" name="PivotTable4"/>
    <pivotTable tabId="3" name="PivotTable6"/>
    <pivotTable tabId="3" name="PivotTable7"/>
  </pivotTables>
  <state minimalRefreshVersion="6" lastRefreshVersion="6" pivotCacheId="932684060"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_Date 1" xr10:uid="{73E69C3F-B6B0-47B2-8ACC-1288A13CF2AF}" cache="NativeTimeline_Admission_Date" caption="Admission_Date"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_Date" xr10:uid="{6BBA7236-5E13-4811-861F-E576B5F59F8A}" cache="NativeTimeline_Admission_Date" caption="Admission_Date" level="2" selectionLevel="2" scrollPosition="2025-01-01T00:00:00" style="TimeSlicerStyleLight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10" Type="http://schemas.microsoft.com/office/2011/relationships/timeline" Target="../timelines/timeline2.xml"/><Relationship Id="rId4" Type="http://schemas.openxmlformats.org/officeDocument/2006/relationships/pivotTable" Target="../pivotTables/pivotTable10.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2D54C-AB0C-47E1-9637-6E00AA5B80A6}">
  <dimension ref="A1"/>
  <sheetViews>
    <sheetView showGridLines="0" topLeftCell="A28" zoomScale="60" zoomScaleNormal="60" workbookViewId="0">
      <selection activeCell="S55" sqref="S55"/>
    </sheetView>
  </sheetViews>
  <sheetFormatPr defaultRowHeight="15" x14ac:dyDescent="0.25"/>
  <cols>
    <col min="1" max="16384" width="9.140625" style="1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DD546-30AD-4231-B5C1-F4E592DECD72}">
  <dimension ref="A1:AC301"/>
  <sheetViews>
    <sheetView topLeftCell="P281" workbookViewId="0">
      <selection activeCell="S7" sqref="S7"/>
    </sheetView>
  </sheetViews>
  <sheetFormatPr defaultRowHeight="15" x14ac:dyDescent="0.25"/>
  <cols>
    <col min="2" max="2" width="19.7109375" bestFit="1" customWidth="1"/>
    <col min="4" max="4" width="18" bestFit="1" customWidth="1"/>
    <col min="5" max="5" width="17.85546875" bestFit="1" customWidth="1"/>
    <col min="6" max="6" width="17.140625" bestFit="1" customWidth="1"/>
    <col min="10" max="10" width="23" bestFit="1" customWidth="1"/>
    <col min="11" max="11" width="19.28515625" bestFit="1" customWidth="1"/>
    <col min="12" max="12" width="19.85546875" bestFit="1" customWidth="1"/>
    <col min="13" max="13" width="28.7109375" bestFit="1" customWidth="1"/>
    <col min="19" max="19" width="28.85546875" bestFit="1" customWidth="1"/>
    <col min="22" max="22" width="23.42578125" bestFit="1" customWidth="1"/>
    <col min="26" max="26" width="13.140625" bestFit="1" customWidth="1"/>
    <col min="27" max="27" width="19.85546875" bestFit="1" customWidth="1"/>
    <col min="28" max="28" width="13.42578125" bestFit="1" customWidth="1"/>
  </cols>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1" t="s">
        <v>18</v>
      </c>
      <c r="T1" t="s">
        <v>19</v>
      </c>
      <c r="U1" t="s">
        <v>20</v>
      </c>
      <c r="V1" s="1" t="s">
        <v>21</v>
      </c>
      <c r="W1" s="2" t="s">
        <v>22</v>
      </c>
      <c r="X1" t="s">
        <v>23</v>
      </c>
      <c r="Y1" t="s">
        <v>24</v>
      </c>
      <c r="Z1" t="s">
        <v>25</v>
      </c>
      <c r="AA1" t="s">
        <v>26</v>
      </c>
      <c r="AB1" s="1" t="s">
        <v>27</v>
      </c>
      <c r="AC1" t="s">
        <v>28</v>
      </c>
    </row>
    <row r="2" spans="1:29" x14ac:dyDescent="0.25">
      <c r="A2" t="s">
        <v>29</v>
      </c>
      <c r="B2" t="s">
        <v>30</v>
      </c>
      <c r="C2" t="s">
        <v>31</v>
      </c>
      <c r="D2" t="s">
        <v>32</v>
      </c>
      <c r="E2" s="3">
        <v>45760</v>
      </c>
      <c r="F2" s="3">
        <v>45766</v>
      </c>
      <c r="G2">
        <v>6.2</v>
      </c>
      <c r="H2">
        <v>35</v>
      </c>
      <c r="I2" t="s">
        <v>33</v>
      </c>
      <c r="J2" t="s">
        <v>34</v>
      </c>
      <c r="K2" t="s">
        <v>35</v>
      </c>
      <c r="L2" t="s">
        <v>36</v>
      </c>
      <c r="M2" t="s">
        <v>37</v>
      </c>
      <c r="N2" t="s">
        <v>38</v>
      </c>
      <c r="O2">
        <v>18</v>
      </c>
      <c r="P2">
        <v>30</v>
      </c>
      <c r="Q2">
        <v>0.6</v>
      </c>
      <c r="R2">
        <v>425</v>
      </c>
      <c r="S2" s="1">
        <v>2635</v>
      </c>
      <c r="T2" t="s">
        <v>39</v>
      </c>
      <c r="U2" t="s">
        <v>40</v>
      </c>
      <c r="V2" s="1">
        <v>2643.93</v>
      </c>
      <c r="W2" s="2">
        <f>Merged_Clinical_Finance_Data[[#This Row],[Occupied_Beds]]/Merged_Clinical_Finance_Data[[#This Row],[Total_Beds]]</f>
        <v>0.6</v>
      </c>
      <c r="X2">
        <f>IF(Merged_Clinical_Finance_Data[[#This Row],[30Day_Readmission]]="Yes",1,0)</f>
        <v>0</v>
      </c>
      <c r="Y2" t="str" cm="1">
        <f t="array" ref="Y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 t="str" cm="1">
        <f t="array" ref="Z2">_xlfn.IFS(Merged_Clinical_Finance_Data[[#This Row],[Length_of_Stay_Days]]&lt;3,"Short (&lt;3)",Merged_Clinical_Finance_Data[[#This Row],[Length_of_Stay_Days]]&lt;=7,"Medium (3-7)",TRUE,"Long (&gt;7)")</f>
        <v>Medium (3-7)</v>
      </c>
      <c r="AA2" s="3">
        <f>EOMONTH(Merged_Clinical_Finance_Data[[#This Row],[Admission_Date]],-1)+1</f>
        <v>45748</v>
      </c>
      <c r="AB2" s="1">
        <f>Merged_Clinical_Finance_Data[[#This Row],[Daily_Bed_Cost_GBP]]*Merged_Clinical_Finance_Data[[#This Row],[Length_of_Stay_Days]]</f>
        <v>2635</v>
      </c>
      <c r="AC2" t="str">
        <f>IF(Merged_Clinical_Finance_Data[[#This Row],[Total_Encounter_Cost_Naira]]&gt;AVERAGE(Merged_Clinical_Finance_Data[[#This Row],[Total_Encounter_Cost_Naira]]),"High","Normal")</f>
        <v>Normal</v>
      </c>
    </row>
    <row r="3" spans="1:29" x14ac:dyDescent="0.25">
      <c r="A3" t="s">
        <v>41</v>
      </c>
      <c r="B3" t="s">
        <v>30</v>
      </c>
      <c r="C3" t="s">
        <v>31</v>
      </c>
      <c r="D3" t="s">
        <v>42</v>
      </c>
      <c r="E3" s="3">
        <v>45849</v>
      </c>
      <c r="F3" s="3">
        <v>45856</v>
      </c>
      <c r="G3">
        <v>7.8</v>
      </c>
      <c r="H3">
        <v>45</v>
      </c>
      <c r="I3" t="s">
        <v>43</v>
      </c>
      <c r="J3" t="s">
        <v>44</v>
      </c>
      <c r="K3" t="s">
        <v>45</v>
      </c>
      <c r="L3" t="s">
        <v>46</v>
      </c>
      <c r="M3" t="s">
        <v>47</v>
      </c>
      <c r="N3" t="s">
        <v>38</v>
      </c>
      <c r="O3">
        <v>28</v>
      </c>
      <c r="P3">
        <v>30</v>
      </c>
      <c r="Q3">
        <v>0.93330000000000002</v>
      </c>
      <c r="R3">
        <v>480</v>
      </c>
      <c r="S3" s="1">
        <v>3744</v>
      </c>
      <c r="T3" t="s">
        <v>39</v>
      </c>
      <c r="U3" t="s">
        <v>40</v>
      </c>
      <c r="V3" s="1">
        <v>3216.85</v>
      </c>
      <c r="W3" s="2">
        <f>Merged_Clinical_Finance_Data[[#This Row],[Occupied_Beds]]/Merged_Clinical_Finance_Data[[#This Row],[Total_Beds]]</f>
        <v>0.93333333333333335</v>
      </c>
      <c r="X3">
        <f>IF(Merged_Clinical_Finance_Data[[#This Row],[30Day_Readmission]]="Yes",1,0)</f>
        <v>0</v>
      </c>
      <c r="Y3" t="str" cm="1">
        <f t="array" ref="Y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3" t="str" cm="1">
        <f t="array" ref="Z3">_xlfn.IFS(Merged_Clinical_Finance_Data[[#This Row],[Length_of_Stay_Days]]&lt;3,"Short (&lt;3)",Merged_Clinical_Finance_Data[[#This Row],[Length_of_Stay_Days]]&lt;=7,"Medium (3-7)",TRUE,"Long (&gt;7)")</f>
        <v>Long (&gt;7)</v>
      </c>
      <c r="AA3" s="3">
        <f>EOMONTH(Merged_Clinical_Finance_Data[[#This Row],[Admission_Date]],-1)+1</f>
        <v>45839</v>
      </c>
      <c r="AB3" s="1">
        <f>Merged_Clinical_Finance_Data[[#This Row],[Daily_Bed_Cost_GBP]]*Merged_Clinical_Finance_Data[[#This Row],[Length_of_Stay_Days]]</f>
        <v>3744</v>
      </c>
      <c r="AC3" t="str">
        <f>IF(Merged_Clinical_Finance_Data[[#This Row],[Total_Encounter_Cost_Naira]]&gt;AVERAGE(Merged_Clinical_Finance_Data[[#This Row],[Total_Encounter_Cost_Naira]]),"High","Normal")</f>
        <v>Normal</v>
      </c>
    </row>
    <row r="4" spans="1:29" x14ac:dyDescent="0.25">
      <c r="A4" t="s">
        <v>48</v>
      </c>
      <c r="B4" t="s">
        <v>49</v>
      </c>
      <c r="C4" t="s">
        <v>50</v>
      </c>
      <c r="D4" t="s">
        <v>32</v>
      </c>
      <c r="E4" s="3">
        <v>45819</v>
      </c>
      <c r="F4" s="3">
        <v>45825</v>
      </c>
      <c r="G4">
        <v>6.2</v>
      </c>
      <c r="H4">
        <v>18</v>
      </c>
      <c r="I4" t="s">
        <v>33</v>
      </c>
      <c r="J4" t="s">
        <v>51</v>
      </c>
      <c r="K4" t="s">
        <v>52</v>
      </c>
      <c r="L4" t="s">
        <v>53</v>
      </c>
      <c r="M4" t="s">
        <v>54</v>
      </c>
      <c r="N4" t="s">
        <v>38</v>
      </c>
      <c r="O4">
        <v>18</v>
      </c>
      <c r="P4">
        <v>30</v>
      </c>
      <c r="Q4">
        <v>0.6</v>
      </c>
      <c r="R4">
        <v>450</v>
      </c>
      <c r="S4" s="1">
        <v>2790</v>
      </c>
      <c r="T4" t="s">
        <v>55</v>
      </c>
      <c r="U4" t="s">
        <v>56</v>
      </c>
      <c r="V4" s="1">
        <v>771.71</v>
      </c>
      <c r="W4" s="2">
        <f>Merged_Clinical_Finance_Data[[#This Row],[Occupied_Beds]]/Merged_Clinical_Finance_Data[[#This Row],[Total_Beds]]</f>
        <v>0.6</v>
      </c>
      <c r="X4">
        <f>IF(Merged_Clinical_Finance_Data[[#This Row],[30Day_Readmission]]="Yes",1,0)</f>
        <v>0</v>
      </c>
      <c r="Y4" t="str" cm="1">
        <f t="array" ref="Y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4" t="str" cm="1">
        <f t="array" ref="Z4">_xlfn.IFS(Merged_Clinical_Finance_Data[[#This Row],[Length_of_Stay_Days]]&lt;3,"Short (&lt;3)",Merged_Clinical_Finance_Data[[#This Row],[Length_of_Stay_Days]]&lt;=7,"Medium (3-7)",TRUE,"Long (&gt;7)")</f>
        <v>Medium (3-7)</v>
      </c>
      <c r="AA4" s="3">
        <f>EOMONTH(Merged_Clinical_Finance_Data[[#This Row],[Admission_Date]],-1)+1</f>
        <v>45809</v>
      </c>
      <c r="AB4" s="1">
        <f>Merged_Clinical_Finance_Data[[#This Row],[Daily_Bed_Cost_GBP]]*Merged_Clinical_Finance_Data[[#This Row],[Length_of_Stay_Days]]</f>
        <v>2790</v>
      </c>
      <c r="AC4" t="str">
        <f>IF(Merged_Clinical_Finance_Data[[#This Row],[Total_Encounter_Cost_Naira]]&gt;AVERAGE(Merged_Clinical_Finance_Data[[#This Row],[Total_Encounter_Cost_Naira]]),"High","Normal")</f>
        <v>Normal</v>
      </c>
    </row>
    <row r="5" spans="1:29" x14ac:dyDescent="0.25">
      <c r="A5" t="s">
        <v>57</v>
      </c>
      <c r="B5" t="s">
        <v>58</v>
      </c>
      <c r="C5" t="s">
        <v>59</v>
      </c>
      <c r="D5" t="s">
        <v>60</v>
      </c>
      <c r="E5" s="3">
        <v>45841</v>
      </c>
      <c r="F5" s="3">
        <v>45843</v>
      </c>
      <c r="G5">
        <v>2.8</v>
      </c>
      <c r="H5">
        <v>38</v>
      </c>
      <c r="I5" t="s">
        <v>33</v>
      </c>
      <c r="J5" t="s">
        <v>61</v>
      </c>
      <c r="K5" t="s">
        <v>62</v>
      </c>
      <c r="L5" t="s">
        <v>63</v>
      </c>
      <c r="M5" t="s">
        <v>47</v>
      </c>
      <c r="N5" t="s">
        <v>38</v>
      </c>
      <c r="O5">
        <v>12</v>
      </c>
      <c r="P5">
        <v>30</v>
      </c>
      <c r="Q5">
        <v>0.4</v>
      </c>
      <c r="R5">
        <v>350</v>
      </c>
      <c r="S5" s="1">
        <v>980</v>
      </c>
      <c r="T5" t="s">
        <v>64</v>
      </c>
      <c r="U5" t="s">
        <v>65</v>
      </c>
      <c r="V5" s="1">
        <v>2354.73</v>
      </c>
      <c r="W5" s="2">
        <f>Merged_Clinical_Finance_Data[[#This Row],[Occupied_Beds]]/Merged_Clinical_Finance_Data[[#This Row],[Total_Beds]]</f>
        <v>0.4</v>
      </c>
      <c r="X5">
        <f>IF(Merged_Clinical_Finance_Data[[#This Row],[30Day_Readmission]]="Yes",1,0)</f>
        <v>0</v>
      </c>
      <c r="Y5" t="str" cm="1">
        <f t="array" ref="Y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5" t="str" cm="1">
        <f t="array" ref="Z5">_xlfn.IFS(Merged_Clinical_Finance_Data[[#This Row],[Length_of_Stay_Days]]&lt;3,"Short (&lt;3)",Merged_Clinical_Finance_Data[[#This Row],[Length_of_Stay_Days]]&lt;=7,"Medium (3-7)",TRUE,"Long (&gt;7)")</f>
        <v>Short (&lt;3)</v>
      </c>
      <c r="AA5" s="3">
        <f>EOMONTH(Merged_Clinical_Finance_Data[[#This Row],[Admission_Date]],-1)+1</f>
        <v>45839</v>
      </c>
      <c r="AB5" s="1">
        <f>Merged_Clinical_Finance_Data[[#This Row],[Daily_Bed_Cost_GBP]]*Merged_Clinical_Finance_Data[[#This Row],[Length_of_Stay_Days]]</f>
        <v>979.99999999999989</v>
      </c>
      <c r="AC5" t="str">
        <f>IF(Merged_Clinical_Finance_Data[[#This Row],[Total_Encounter_Cost_Naira]]&gt;AVERAGE(Merged_Clinical_Finance_Data[[#This Row],[Total_Encounter_Cost_Naira]]),"High","Normal")</f>
        <v>Normal</v>
      </c>
    </row>
    <row r="6" spans="1:29" x14ac:dyDescent="0.25">
      <c r="A6" t="s">
        <v>66</v>
      </c>
      <c r="B6" t="s">
        <v>67</v>
      </c>
      <c r="C6" t="s">
        <v>68</v>
      </c>
      <c r="D6" t="s">
        <v>32</v>
      </c>
      <c r="E6" s="3">
        <v>46008</v>
      </c>
      <c r="F6" s="3">
        <v>46013</v>
      </c>
      <c r="G6">
        <v>5.9</v>
      </c>
      <c r="H6">
        <v>72</v>
      </c>
      <c r="I6" t="s">
        <v>33</v>
      </c>
      <c r="J6" t="s">
        <v>51</v>
      </c>
      <c r="K6" t="s">
        <v>69</v>
      </c>
      <c r="L6" t="s">
        <v>70</v>
      </c>
      <c r="M6" t="s">
        <v>54</v>
      </c>
      <c r="N6" t="s">
        <v>71</v>
      </c>
      <c r="O6">
        <v>16</v>
      </c>
      <c r="P6">
        <v>30</v>
      </c>
      <c r="Q6">
        <v>0.5333</v>
      </c>
      <c r="R6">
        <v>400</v>
      </c>
      <c r="S6" s="1">
        <v>2360</v>
      </c>
      <c r="T6" t="s">
        <v>55</v>
      </c>
      <c r="U6" t="s">
        <v>56</v>
      </c>
      <c r="V6" s="1">
        <v>303.89</v>
      </c>
      <c r="W6" s="2">
        <f>Merged_Clinical_Finance_Data[[#This Row],[Occupied_Beds]]/Merged_Clinical_Finance_Data[[#This Row],[Total_Beds]]</f>
        <v>0.53333333333333333</v>
      </c>
      <c r="X6">
        <f>IF(Merged_Clinical_Finance_Data[[#This Row],[30Day_Readmission]]="Yes",1,0)</f>
        <v>1</v>
      </c>
      <c r="Y6" t="str" cm="1">
        <f t="array" ref="Y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6" t="str" cm="1">
        <f t="array" ref="Z6">_xlfn.IFS(Merged_Clinical_Finance_Data[[#This Row],[Length_of_Stay_Days]]&lt;3,"Short (&lt;3)",Merged_Clinical_Finance_Data[[#This Row],[Length_of_Stay_Days]]&lt;=7,"Medium (3-7)",TRUE,"Long (&gt;7)")</f>
        <v>Medium (3-7)</v>
      </c>
      <c r="AA6" s="3">
        <f>EOMONTH(Merged_Clinical_Finance_Data[[#This Row],[Admission_Date]],-1)+1</f>
        <v>45992</v>
      </c>
      <c r="AB6" s="1">
        <f>Merged_Clinical_Finance_Data[[#This Row],[Daily_Bed_Cost_GBP]]*Merged_Clinical_Finance_Data[[#This Row],[Length_of_Stay_Days]]</f>
        <v>2360</v>
      </c>
      <c r="AC6" t="str">
        <f>IF(Merged_Clinical_Finance_Data[[#This Row],[Total_Encounter_Cost_Naira]]&gt;AVERAGE(Merged_Clinical_Finance_Data[[#This Row],[Total_Encounter_Cost_Naira]]),"High","Normal")</f>
        <v>Normal</v>
      </c>
    </row>
    <row r="7" spans="1:29" x14ac:dyDescent="0.25">
      <c r="A7" t="s">
        <v>72</v>
      </c>
      <c r="B7" t="s">
        <v>30</v>
      </c>
      <c r="C7" t="s">
        <v>31</v>
      </c>
      <c r="D7" t="s">
        <v>42</v>
      </c>
      <c r="E7" s="3">
        <v>45686</v>
      </c>
      <c r="F7" s="3">
        <v>45692</v>
      </c>
      <c r="G7">
        <v>6.5</v>
      </c>
      <c r="H7">
        <v>87</v>
      </c>
      <c r="I7" t="s">
        <v>33</v>
      </c>
      <c r="J7" t="s">
        <v>73</v>
      </c>
      <c r="K7" t="s">
        <v>45</v>
      </c>
      <c r="L7" t="s">
        <v>46</v>
      </c>
      <c r="M7" t="s">
        <v>74</v>
      </c>
      <c r="N7" t="s">
        <v>38</v>
      </c>
      <c r="O7">
        <v>13</v>
      </c>
      <c r="P7">
        <v>30</v>
      </c>
      <c r="Q7">
        <v>0.43330000000000002</v>
      </c>
      <c r="R7">
        <v>425</v>
      </c>
      <c r="S7" s="1">
        <v>2762.5</v>
      </c>
      <c r="T7" t="s">
        <v>55</v>
      </c>
      <c r="U7" t="s">
        <v>56</v>
      </c>
      <c r="V7" s="1">
        <v>1110.51</v>
      </c>
      <c r="W7" s="2">
        <f>Merged_Clinical_Finance_Data[[#This Row],[Occupied_Beds]]/Merged_Clinical_Finance_Data[[#This Row],[Total_Beds]]</f>
        <v>0.43333333333333335</v>
      </c>
      <c r="X7">
        <f>IF(Merged_Clinical_Finance_Data[[#This Row],[30Day_Readmission]]="Yes",1,0)</f>
        <v>0</v>
      </c>
      <c r="Y7" t="str" cm="1">
        <f t="array" ref="Y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7" t="str" cm="1">
        <f t="array" ref="Z7">_xlfn.IFS(Merged_Clinical_Finance_Data[[#This Row],[Length_of_Stay_Days]]&lt;3,"Short (&lt;3)",Merged_Clinical_Finance_Data[[#This Row],[Length_of_Stay_Days]]&lt;=7,"Medium (3-7)",TRUE,"Long (&gt;7)")</f>
        <v>Medium (3-7)</v>
      </c>
      <c r="AA7" s="3">
        <f>EOMONTH(Merged_Clinical_Finance_Data[[#This Row],[Admission_Date]],-1)+1</f>
        <v>45658</v>
      </c>
      <c r="AB7" s="1">
        <f>Merged_Clinical_Finance_Data[[#This Row],[Daily_Bed_Cost_GBP]]*Merged_Clinical_Finance_Data[[#This Row],[Length_of_Stay_Days]]</f>
        <v>2762.5</v>
      </c>
      <c r="AC7" t="str">
        <f>IF(Merged_Clinical_Finance_Data[[#This Row],[Total_Encounter_Cost_Naira]]&gt;AVERAGE(Merged_Clinical_Finance_Data[[#This Row],[Total_Encounter_Cost_Naira]]),"High","Normal")</f>
        <v>Normal</v>
      </c>
    </row>
    <row r="8" spans="1:29" x14ac:dyDescent="0.25">
      <c r="A8" t="s">
        <v>75</v>
      </c>
      <c r="B8" t="s">
        <v>67</v>
      </c>
      <c r="C8" t="s">
        <v>68</v>
      </c>
      <c r="D8" t="s">
        <v>42</v>
      </c>
      <c r="E8" s="3">
        <v>45969</v>
      </c>
      <c r="F8" s="3">
        <v>45975</v>
      </c>
      <c r="G8">
        <v>6.6</v>
      </c>
      <c r="H8">
        <v>33</v>
      </c>
      <c r="I8" t="s">
        <v>43</v>
      </c>
      <c r="J8" t="s">
        <v>34</v>
      </c>
      <c r="K8" t="s">
        <v>76</v>
      </c>
      <c r="L8" t="s">
        <v>77</v>
      </c>
      <c r="M8" t="s">
        <v>54</v>
      </c>
      <c r="N8" t="s">
        <v>38</v>
      </c>
      <c r="O8">
        <v>18</v>
      </c>
      <c r="P8">
        <v>30</v>
      </c>
      <c r="Q8">
        <v>0.6</v>
      </c>
      <c r="R8">
        <v>375</v>
      </c>
      <c r="S8" s="1">
        <v>2475</v>
      </c>
      <c r="T8" t="s">
        <v>64</v>
      </c>
      <c r="U8" t="s">
        <v>65</v>
      </c>
      <c r="V8" s="1">
        <v>3174.08</v>
      </c>
      <c r="W8" s="2">
        <f>Merged_Clinical_Finance_Data[[#This Row],[Occupied_Beds]]/Merged_Clinical_Finance_Data[[#This Row],[Total_Beds]]</f>
        <v>0.6</v>
      </c>
      <c r="X8">
        <f>IF(Merged_Clinical_Finance_Data[[#This Row],[30Day_Readmission]]="Yes",1,0)</f>
        <v>0</v>
      </c>
      <c r="Y8" t="str" cm="1">
        <f t="array" ref="Y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8" t="str" cm="1">
        <f t="array" ref="Z8">_xlfn.IFS(Merged_Clinical_Finance_Data[[#This Row],[Length_of_Stay_Days]]&lt;3,"Short (&lt;3)",Merged_Clinical_Finance_Data[[#This Row],[Length_of_Stay_Days]]&lt;=7,"Medium (3-7)",TRUE,"Long (&gt;7)")</f>
        <v>Medium (3-7)</v>
      </c>
      <c r="AA8" s="3">
        <f>EOMONTH(Merged_Clinical_Finance_Data[[#This Row],[Admission_Date]],-1)+1</f>
        <v>45962</v>
      </c>
      <c r="AB8" s="1">
        <f>Merged_Clinical_Finance_Data[[#This Row],[Daily_Bed_Cost_GBP]]*Merged_Clinical_Finance_Data[[#This Row],[Length_of_Stay_Days]]</f>
        <v>2475</v>
      </c>
      <c r="AC8" t="str">
        <f>IF(Merged_Clinical_Finance_Data[[#This Row],[Total_Encounter_Cost_Naira]]&gt;AVERAGE(Merged_Clinical_Finance_Data[[#This Row],[Total_Encounter_Cost_Naira]]),"High","Normal")</f>
        <v>Normal</v>
      </c>
    </row>
    <row r="9" spans="1:29" x14ac:dyDescent="0.25">
      <c r="A9" t="s">
        <v>78</v>
      </c>
      <c r="B9" t="s">
        <v>79</v>
      </c>
      <c r="C9" t="s">
        <v>80</v>
      </c>
      <c r="D9" t="s">
        <v>32</v>
      </c>
      <c r="E9" s="3">
        <v>45777</v>
      </c>
      <c r="F9" s="3">
        <v>45781</v>
      </c>
      <c r="G9">
        <v>4.4000000000000004</v>
      </c>
      <c r="H9">
        <v>64</v>
      </c>
      <c r="I9" t="s">
        <v>43</v>
      </c>
      <c r="J9" t="s">
        <v>81</v>
      </c>
      <c r="K9" t="s">
        <v>82</v>
      </c>
      <c r="L9" t="s">
        <v>83</v>
      </c>
      <c r="M9" t="s">
        <v>47</v>
      </c>
      <c r="N9" t="s">
        <v>71</v>
      </c>
      <c r="O9">
        <v>13</v>
      </c>
      <c r="P9">
        <v>30</v>
      </c>
      <c r="Q9">
        <v>0.43330000000000002</v>
      </c>
      <c r="R9">
        <v>450</v>
      </c>
      <c r="S9" s="1">
        <v>1980</v>
      </c>
      <c r="T9" t="s">
        <v>84</v>
      </c>
      <c r="U9" t="s">
        <v>85</v>
      </c>
      <c r="V9" s="1">
        <v>2967.5</v>
      </c>
      <c r="W9" s="2">
        <f>Merged_Clinical_Finance_Data[[#This Row],[Occupied_Beds]]/Merged_Clinical_Finance_Data[[#This Row],[Total_Beds]]</f>
        <v>0.43333333333333335</v>
      </c>
      <c r="X9">
        <f>IF(Merged_Clinical_Finance_Data[[#This Row],[30Day_Readmission]]="Yes",1,0)</f>
        <v>1</v>
      </c>
      <c r="Y9" t="str" cm="1">
        <f t="array" ref="Y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9" t="str" cm="1">
        <f t="array" ref="Z9">_xlfn.IFS(Merged_Clinical_Finance_Data[[#This Row],[Length_of_Stay_Days]]&lt;3,"Short (&lt;3)",Merged_Clinical_Finance_Data[[#This Row],[Length_of_Stay_Days]]&lt;=7,"Medium (3-7)",TRUE,"Long (&gt;7)")</f>
        <v>Medium (3-7)</v>
      </c>
      <c r="AA9" s="3">
        <f>EOMONTH(Merged_Clinical_Finance_Data[[#This Row],[Admission_Date]],-1)+1</f>
        <v>45748</v>
      </c>
      <c r="AB9" s="1">
        <f>Merged_Clinical_Finance_Data[[#This Row],[Daily_Bed_Cost_GBP]]*Merged_Clinical_Finance_Data[[#This Row],[Length_of_Stay_Days]]</f>
        <v>1980.0000000000002</v>
      </c>
      <c r="AC9" t="str">
        <f>IF(Merged_Clinical_Finance_Data[[#This Row],[Total_Encounter_Cost_Naira]]&gt;AVERAGE(Merged_Clinical_Finance_Data[[#This Row],[Total_Encounter_Cost_Naira]]),"High","Normal")</f>
        <v>Normal</v>
      </c>
    </row>
    <row r="10" spans="1:29" x14ac:dyDescent="0.25">
      <c r="A10" t="s">
        <v>86</v>
      </c>
      <c r="B10" t="s">
        <v>79</v>
      </c>
      <c r="C10" t="s">
        <v>80</v>
      </c>
      <c r="D10" t="s">
        <v>42</v>
      </c>
      <c r="E10" s="3">
        <v>45851</v>
      </c>
      <c r="F10" s="3">
        <v>45853</v>
      </c>
      <c r="G10">
        <v>2.6</v>
      </c>
      <c r="H10">
        <v>69</v>
      </c>
      <c r="I10" t="s">
        <v>33</v>
      </c>
      <c r="J10" t="s">
        <v>44</v>
      </c>
      <c r="K10" t="s">
        <v>87</v>
      </c>
      <c r="L10" t="s">
        <v>88</v>
      </c>
      <c r="M10" t="s">
        <v>47</v>
      </c>
      <c r="N10" t="s">
        <v>38</v>
      </c>
      <c r="O10">
        <v>23</v>
      </c>
      <c r="P10">
        <v>30</v>
      </c>
      <c r="Q10">
        <v>0.76670000000000005</v>
      </c>
      <c r="R10">
        <v>350</v>
      </c>
      <c r="S10" s="1">
        <v>910</v>
      </c>
      <c r="T10" t="s">
        <v>89</v>
      </c>
      <c r="U10" t="s">
        <v>90</v>
      </c>
      <c r="V10" s="1">
        <v>8590.14</v>
      </c>
      <c r="W10" s="2">
        <f>Merged_Clinical_Finance_Data[[#This Row],[Occupied_Beds]]/Merged_Clinical_Finance_Data[[#This Row],[Total_Beds]]</f>
        <v>0.76666666666666672</v>
      </c>
      <c r="X10">
        <f>IF(Merged_Clinical_Finance_Data[[#This Row],[30Day_Readmission]]="Yes",1,0)</f>
        <v>0</v>
      </c>
      <c r="Y10" t="str" cm="1">
        <f t="array" ref="Y1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0" t="str" cm="1">
        <f t="array" ref="Z10">_xlfn.IFS(Merged_Clinical_Finance_Data[[#This Row],[Length_of_Stay_Days]]&lt;3,"Short (&lt;3)",Merged_Clinical_Finance_Data[[#This Row],[Length_of_Stay_Days]]&lt;=7,"Medium (3-7)",TRUE,"Long (&gt;7)")</f>
        <v>Short (&lt;3)</v>
      </c>
      <c r="AA10" s="3">
        <f>EOMONTH(Merged_Clinical_Finance_Data[[#This Row],[Admission_Date]],-1)+1</f>
        <v>45839</v>
      </c>
      <c r="AB10" s="1">
        <f>Merged_Clinical_Finance_Data[[#This Row],[Daily_Bed_Cost_GBP]]*Merged_Clinical_Finance_Data[[#This Row],[Length_of_Stay_Days]]</f>
        <v>910</v>
      </c>
      <c r="AC10" t="str">
        <f>IF(Merged_Clinical_Finance_Data[[#This Row],[Total_Encounter_Cost_Naira]]&gt;AVERAGE(Merged_Clinical_Finance_Data[[#This Row],[Total_Encounter_Cost_Naira]]),"High","Normal")</f>
        <v>Normal</v>
      </c>
    </row>
    <row r="11" spans="1:29" x14ac:dyDescent="0.25">
      <c r="A11" t="s">
        <v>91</v>
      </c>
      <c r="B11" t="s">
        <v>30</v>
      </c>
      <c r="C11" t="s">
        <v>31</v>
      </c>
      <c r="D11" t="s">
        <v>32</v>
      </c>
      <c r="E11" s="3">
        <v>45775</v>
      </c>
      <c r="F11" s="3">
        <v>45779</v>
      </c>
      <c r="G11">
        <v>4.2</v>
      </c>
      <c r="H11">
        <v>57</v>
      </c>
      <c r="I11" t="s">
        <v>33</v>
      </c>
      <c r="J11" t="s">
        <v>73</v>
      </c>
      <c r="K11" t="s">
        <v>35</v>
      </c>
      <c r="L11" t="s">
        <v>92</v>
      </c>
      <c r="M11" t="s">
        <v>74</v>
      </c>
      <c r="N11" t="s">
        <v>38</v>
      </c>
      <c r="O11">
        <v>19</v>
      </c>
      <c r="P11">
        <v>30</v>
      </c>
      <c r="Q11">
        <v>0.63329999999999997</v>
      </c>
      <c r="R11">
        <v>480</v>
      </c>
      <c r="S11" s="1">
        <v>2016</v>
      </c>
      <c r="T11" t="s">
        <v>39</v>
      </c>
      <c r="U11" t="s">
        <v>40</v>
      </c>
      <c r="V11" s="1">
        <v>2764.68</v>
      </c>
      <c r="W11" s="2">
        <f>Merged_Clinical_Finance_Data[[#This Row],[Occupied_Beds]]/Merged_Clinical_Finance_Data[[#This Row],[Total_Beds]]</f>
        <v>0.6333333333333333</v>
      </c>
      <c r="X11">
        <f>IF(Merged_Clinical_Finance_Data[[#This Row],[30Day_Readmission]]="Yes",1,0)</f>
        <v>0</v>
      </c>
      <c r="Y11" t="str" cm="1">
        <f t="array" ref="Y1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1" t="str" cm="1">
        <f t="array" ref="Z11">_xlfn.IFS(Merged_Clinical_Finance_Data[[#This Row],[Length_of_Stay_Days]]&lt;3,"Short (&lt;3)",Merged_Clinical_Finance_Data[[#This Row],[Length_of_Stay_Days]]&lt;=7,"Medium (3-7)",TRUE,"Long (&gt;7)")</f>
        <v>Medium (3-7)</v>
      </c>
      <c r="AA11" s="3">
        <f>EOMONTH(Merged_Clinical_Finance_Data[[#This Row],[Admission_Date]],-1)+1</f>
        <v>45748</v>
      </c>
      <c r="AB11" s="1">
        <f>Merged_Clinical_Finance_Data[[#This Row],[Daily_Bed_Cost_GBP]]*Merged_Clinical_Finance_Data[[#This Row],[Length_of_Stay_Days]]</f>
        <v>2016</v>
      </c>
      <c r="AC11" t="str">
        <f>IF(Merged_Clinical_Finance_Data[[#This Row],[Total_Encounter_Cost_Naira]]&gt;AVERAGE(Merged_Clinical_Finance_Data[[#This Row],[Total_Encounter_Cost_Naira]]),"High","Normal")</f>
        <v>Normal</v>
      </c>
    </row>
    <row r="12" spans="1:29" x14ac:dyDescent="0.25">
      <c r="A12" t="s">
        <v>93</v>
      </c>
      <c r="B12" t="s">
        <v>30</v>
      </c>
      <c r="C12" t="s">
        <v>31</v>
      </c>
      <c r="D12" t="s">
        <v>42</v>
      </c>
      <c r="E12" s="3">
        <v>45882</v>
      </c>
      <c r="F12" s="3">
        <v>45889</v>
      </c>
      <c r="G12">
        <v>7.3</v>
      </c>
      <c r="H12">
        <v>74</v>
      </c>
      <c r="I12" t="s">
        <v>33</v>
      </c>
      <c r="J12" t="s">
        <v>34</v>
      </c>
      <c r="K12" t="s">
        <v>45</v>
      </c>
      <c r="L12" t="s">
        <v>46</v>
      </c>
      <c r="M12" t="s">
        <v>74</v>
      </c>
      <c r="N12" t="s">
        <v>71</v>
      </c>
      <c r="O12">
        <v>22</v>
      </c>
      <c r="P12">
        <v>30</v>
      </c>
      <c r="Q12">
        <v>0.73329999999999995</v>
      </c>
      <c r="R12">
        <v>510</v>
      </c>
      <c r="S12" s="1">
        <v>3723</v>
      </c>
      <c r="T12" t="s">
        <v>84</v>
      </c>
      <c r="U12" t="s">
        <v>85</v>
      </c>
      <c r="V12" s="1">
        <v>5108.12</v>
      </c>
      <c r="W12" s="2">
        <f>Merged_Clinical_Finance_Data[[#This Row],[Occupied_Beds]]/Merged_Clinical_Finance_Data[[#This Row],[Total_Beds]]</f>
        <v>0.73333333333333328</v>
      </c>
      <c r="X12">
        <f>IF(Merged_Clinical_Finance_Data[[#This Row],[30Day_Readmission]]="Yes",1,0)</f>
        <v>1</v>
      </c>
      <c r="Y12" t="str" cm="1">
        <f t="array" ref="Y1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2" t="str" cm="1">
        <f t="array" ref="Z12">_xlfn.IFS(Merged_Clinical_Finance_Data[[#This Row],[Length_of_Stay_Days]]&lt;3,"Short (&lt;3)",Merged_Clinical_Finance_Data[[#This Row],[Length_of_Stay_Days]]&lt;=7,"Medium (3-7)",TRUE,"Long (&gt;7)")</f>
        <v>Long (&gt;7)</v>
      </c>
      <c r="AA12" s="3">
        <f>EOMONTH(Merged_Clinical_Finance_Data[[#This Row],[Admission_Date]],-1)+1</f>
        <v>45870</v>
      </c>
      <c r="AB12" s="1">
        <f>Merged_Clinical_Finance_Data[[#This Row],[Daily_Bed_Cost_GBP]]*Merged_Clinical_Finance_Data[[#This Row],[Length_of_Stay_Days]]</f>
        <v>3723</v>
      </c>
      <c r="AC12" t="str">
        <f>IF(Merged_Clinical_Finance_Data[[#This Row],[Total_Encounter_Cost_Naira]]&gt;AVERAGE(Merged_Clinical_Finance_Data[[#This Row],[Total_Encounter_Cost_Naira]]),"High","Normal")</f>
        <v>Normal</v>
      </c>
    </row>
    <row r="13" spans="1:29" x14ac:dyDescent="0.25">
      <c r="A13" t="s">
        <v>94</v>
      </c>
      <c r="B13" t="s">
        <v>58</v>
      </c>
      <c r="C13" t="s">
        <v>59</v>
      </c>
      <c r="D13" t="s">
        <v>42</v>
      </c>
      <c r="E13" s="3">
        <v>45789</v>
      </c>
      <c r="F13" s="3">
        <v>45793</v>
      </c>
      <c r="G13">
        <v>4.5999999999999996</v>
      </c>
      <c r="H13">
        <v>38</v>
      </c>
      <c r="I13" t="s">
        <v>43</v>
      </c>
      <c r="J13" t="s">
        <v>44</v>
      </c>
      <c r="K13" t="s">
        <v>95</v>
      </c>
      <c r="L13" t="s">
        <v>63</v>
      </c>
      <c r="M13" t="s">
        <v>54</v>
      </c>
      <c r="N13" t="s">
        <v>38</v>
      </c>
      <c r="O13">
        <v>18</v>
      </c>
      <c r="P13">
        <v>30</v>
      </c>
      <c r="Q13">
        <v>0.6</v>
      </c>
      <c r="R13">
        <v>400</v>
      </c>
      <c r="S13" s="1">
        <v>1840</v>
      </c>
      <c r="T13" t="s">
        <v>96</v>
      </c>
      <c r="U13" t="s">
        <v>97</v>
      </c>
      <c r="V13" s="1">
        <v>2205.1</v>
      </c>
      <c r="W13" s="2">
        <f>Merged_Clinical_Finance_Data[[#This Row],[Occupied_Beds]]/Merged_Clinical_Finance_Data[[#This Row],[Total_Beds]]</f>
        <v>0.6</v>
      </c>
      <c r="X13">
        <f>IF(Merged_Clinical_Finance_Data[[#This Row],[30Day_Readmission]]="Yes",1,0)</f>
        <v>0</v>
      </c>
      <c r="Y13" t="str" cm="1">
        <f t="array" ref="Y1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3" t="str" cm="1">
        <f t="array" ref="Z13">_xlfn.IFS(Merged_Clinical_Finance_Data[[#This Row],[Length_of_Stay_Days]]&lt;3,"Short (&lt;3)",Merged_Clinical_Finance_Data[[#This Row],[Length_of_Stay_Days]]&lt;=7,"Medium (3-7)",TRUE,"Long (&gt;7)")</f>
        <v>Medium (3-7)</v>
      </c>
      <c r="AA13" s="3">
        <f>EOMONTH(Merged_Clinical_Finance_Data[[#This Row],[Admission_Date]],-1)+1</f>
        <v>45778</v>
      </c>
      <c r="AB13" s="1">
        <f>Merged_Clinical_Finance_Data[[#This Row],[Daily_Bed_Cost_GBP]]*Merged_Clinical_Finance_Data[[#This Row],[Length_of_Stay_Days]]</f>
        <v>1839.9999999999998</v>
      </c>
      <c r="AC13" t="str">
        <f>IF(Merged_Clinical_Finance_Data[[#This Row],[Total_Encounter_Cost_Naira]]&gt;AVERAGE(Merged_Clinical_Finance_Data[[#This Row],[Total_Encounter_Cost_Naira]]),"High","Normal")</f>
        <v>Normal</v>
      </c>
    </row>
    <row r="14" spans="1:29" x14ac:dyDescent="0.25">
      <c r="A14" t="s">
        <v>98</v>
      </c>
      <c r="B14" t="s">
        <v>79</v>
      </c>
      <c r="C14" t="s">
        <v>80</v>
      </c>
      <c r="D14" t="s">
        <v>60</v>
      </c>
      <c r="E14" s="3">
        <v>45999</v>
      </c>
      <c r="F14" s="3">
        <v>46001</v>
      </c>
      <c r="G14">
        <v>2.4</v>
      </c>
      <c r="H14">
        <v>42</v>
      </c>
      <c r="I14" t="s">
        <v>43</v>
      </c>
      <c r="J14" t="s">
        <v>73</v>
      </c>
      <c r="K14" t="s">
        <v>87</v>
      </c>
      <c r="L14" t="s">
        <v>99</v>
      </c>
      <c r="M14" t="s">
        <v>74</v>
      </c>
      <c r="N14" t="s">
        <v>38</v>
      </c>
      <c r="O14">
        <v>19</v>
      </c>
      <c r="P14">
        <v>30</v>
      </c>
      <c r="Q14">
        <v>0.63329999999999997</v>
      </c>
      <c r="R14">
        <v>510</v>
      </c>
      <c r="S14" s="1">
        <v>1224</v>
      </c>
      <c r="T14" t="s">
        <v>55</v>
      </c>
      <c r="U14" t="s">
        <v>56</v>
      </c>
      <c r="V14" s="1">
        <v>943.92</v>
      </c>
      <c r="W14" s="2">
        <f>Merged_Clinical_Finance_Data[[#This Row],[Occupied_Beds]]/Merged_Clinical_Finance_Data[[#This Row],[Total_Beds]]</f>
        <v>0.6333333333333333</v>
      </c>
      <c r="X14">
        <f>IF(Merged_Clinical_Finance_Data[[#This Row],[30Day_Readmission]]="Yes",1,0)</f>
        <v>0</v>
      </c>
      <c r="Y14" t="str" cm="1">
        <f t="array" ref="Y1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4" t="str" cm="1">
        <f t="array" ref="Z14">_xlfn.IFS(Merged_Clinical_Finance_Data[[#This Row],[Length_of_Stay_Days]]&lt;3,"Short (&lt;3)",Merged_Clinical_Finance_Data[[#This Row],[Length_of_Stay_Days]]&lt;=7,"Medium (3-7)",TRUE,"Long (&gt;7)")</f>
        <v>Short (&lt;3)</v>
      </c>
      <c r="AA14" s="3">
        <f>EOMONTH(Merged_Clinical_Finance_Data[[#This Row],[Admission_Date]],-1)+1</f>
        <v>45992</v>
      </c>
      <c r="AB14" s="1">
        <f>Merged_Clinical_Finance_Data[[#This Row],[Daily_Bed_Cost_GBP]]*Merged_Clinical_Finance_Data[[#This Row],[Length_of_Stay_Days]]</f>
        <v>1224</v>
      </c>
      <c r="AC14" t="str">
        <f>IF(Merged_Clinical_Finance_Data[[#This Row],[Total_Encounter_Cost_Naira]]&gt;AVERAGE(Merged_Clinical_Finance_Data[[#This Row],[Total_Encounter_Cost_Naira]]),"High","Normal")</f>
        <v>Normal</v>
      </c>
    </row>
    <row r="15" spans="1:29" x14ac:dyDescent="0.25">
      <c r="A15" t="s">
        <v>100</v>
      </c>
      <c r="B15" t="s">
        <v>30</v>
      </c>
      <c r="C15" t="s">
        <v>31</v>
      </c>
      <c r="D15" t="s">
        <v>42</v>
      </c>
      <c r="E15" s="3">
        <v>45994</v>
      </c>
      <c r="F15" s="3">
        <v>45998</v>
      </c>
      <c r="G15">
        <v>4.8</v>
      </c>
      <c r="H15">
        <v>86</v>
      </c>
      <c r="I15" t="s">
        <v>43</v>
      </c>
      <c r="J15" t="s">
        <v>51</v>
      </c>
      <c r="K15" t="s">
        <v>35</v>
      </c>
      <c r="L15" t="s">
        <v>92</v>
      </c>
      <c r="M15" t="s">
        <v>37</v>
      </c>
      <c r="N15" t="s">
        <v>71</v>
      </c>
      <c r="O15">
        <v>26</v>
      </c>
      <c r="P15">
        <v>30</v>
      </c>
      <c r="Q15">
        <v>0.86670000000000003</v>
      </c>
      <c r="R15">
        <v>510</v>
      </c>
      <c r="S15" s="1">
        <v>2448</v>
      </c>
      <c r="T15" t="s">
        <v>39</v>
      </c>
      <c r="U15" t="s">
        <v>40</v>
      </c>
      <c r="V15" s="1">
        <v>3718.69</v>
      </c>
      <c r="W15" s="2">
        <f>Merged_Clinical_Finance_Data[[#This Row],[Occupied_Beds]]/Merged_Clinical_Finance_Data[[#This Row],[Total_Beds]]</f>
        <v>0.8666666666666667</v>
      </c>
      <c r="X15">
        <f>IF(Merged_Clinical_Finance_Data[[#This Row],[30Day_Readmission]]="Yes",1,0)</f>
        <v>1</v>
      </c>
      <c r="Y15" t="str" cm="1">
        <f t="array" ref="Y1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15" t="str" cm="1">
        <f t="array" ref="Z15">_xlfn.IFS(Merged_Clinical_Finance_Data[[#This Row],[Length_of_Stay_Days]]&lt;3,"Short (&lt;3)",Merged_Clinical_Finance_Data[[#This Row],[Length_of_Stay_Days]]&lt;=7,"Medium (3-7)",TRUE,"Long (&gt;7)")</f>
        <v>Medium (3-7)</v>
      </c>
      <c r="AA15" s="3">
        <f>EOMONTH(Merged_Clinical_Finance_Data[[#This Row],[Admission_Date]],-1)+1</f>
        <v>45992</v>
      </c>
      <c r="AB15" s="1">
        <f>Merged_Clinical_Finance_Data[[#This Row],[Daily_Bed_Cost_GBP]]*Merged_Clinical_Finance_Data[[#This Row],[Length_of_Stay_Days]]</f>
        <v>2448</v>
      </c>
      <c r="AC15" t="str">
        <f>IF(Merged_Clinical_Finance_Data[[#This Row],[Total_Encounter_Cost_Naira]]&gt;AVERAGE(Merged_Clinical_Finance_Data[[#This Row],[Total_Encounter_Cost_Naira]]),"High","Normal")</f>
        <v>Normal</v>
      </c>
    </row>
    <row r="16" spans="1:29" x14ac:dyDescent="0.25">
      <c r="A16" t="s">
        <v>101</v>
      </c>
      <c r="B16" t="s">
        <v>102</v>
      </c>
      <c r="C16" t="s">
        <v>103</v>
      </c>
      <c r="D16" t="s">
        <v>42</v>
      </c>
      <c r="E16" s="3">
        <v>45871</v>
      </c>
      <c r="F16" s="3">
        <v>45872</v>
      </c>
      <c r="G16">
        <v>1.4</v>
      </c>
      <c r="H16">
        <v>54</v>
      </c>
      <c r="I16" t="s">
        <v>43</v>
      </c>
      <c r="J16" t="s">
        <v>81</v>
      </c>
      <c r="K16" t="s">
        <v>104</v>
      </c>
      <c r="L16" t="s">
        <v>105</v>
      </c>
      <c r="M16" t="s">
        <v>47</v>
      </c>
      <c r="N16" t="s">
        <v>38</v>
      </c>
      <c r="O16">
        <v>30</v>
      </c>
      <c r="P16">
        <v>30</v>
      </c>
      <c r="Q16">
        <v>1</v>
      </c>
      <c r="R16">
        <v>350</v>
      </c>
      <c r="S16" s="1">
        <v>490</v>
      </c>
      <c r="T16" t="s">
        <v>55</v>
      </c>
      <c r="U16" t="s">
        <v>56</v>
      </c>
      <c r="V16" s="1">
        <v>964.34</v>
      </c>
      <c r="W16" s="2">
        <f>Merged_Clinical_Finance_Data[[#This Row],[Occupied_Beds]]/Merged_Clinical_Finance_Data[[#This Row],[Total_Beds]]</f>
        <v>1</v>
      </c>
      <c r="X16">
        <f>IF(Merged_Clinical_Finance_Data[[#This Row],[30Day_Readmission]]="Yes",1,0)</f>
        <v>0</v>
      </c>
      <c r="Y16" t="str" cm="1">
        <f t="array" ref="Y1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6" t="str" cm="1">
        <f t="array" ref="Z16">_xlfn.IFS(Merged_Clinical_Finance_Data[[#This Row],[Length_of_Stay_Days]]&lt;3,"Short (&lt;3)",Merged_Clinical_Finance_Data[[#This Row],[Length_of_Stay_Days]]&lt;=7,"Medium (3-7)",TRUE,"Long (&gt;7)")</f>
        <v>Short (&lt;3)</v>
      </c>
      <c r="AA16" s="3">
        <f>EOMONTH(Merged_Clinical_Finance_Data[[#This Row],[Admission_Date]],-1)+1</f>
        <v>45870</v>
      </c>
      <c r="AB16" s="1">
        <f>Merged_Clinical_Finance_Data[[#This Row],[Daily_Bed_Cost_GBP]]*Merged_Clinical_Finance_Data[[#This Row],[Length_of_Stay_Days]]</f>
        <v>489.99999999999994</v>
      </c>
      <c r="AC16" t="str">
        <f>IF(Merged_Clinical_Finance_Data[[#This Row],[Total_Encounter_Cost_Naira]]&gt;AVERAGE(Merged_Clinical_Finance_Data[[#This Row],[Total_Encounter_Cost_Naira]]),"High","Normal")</f>
        <v>Normal</v>
      </c>
    </row>
    <row r="17" spans="1:29" x14ac:dyDescent="0.25">
      <c r="A17" t="s">
        <v>106</v>
      </c>
      <c r="B17" t="s">
        <v>107</v>
      </c>
      <c r="C17" t="s">
        <v>108</v>
      </c>
      <c r="D17" t="s">
        <v>60</v>
      </c>
      <c r="E17" s="3">
        <v>45871</v>
      </c>
      <c r="F17" s="3">
        <v>45874</v>
      </c>
      <c r="G17">
        <v>3.8</v>
      </c>
      <c r="H17">
        <v>55</v>
      </c>
      <c r="I17" t="s">
        <v>43</v>
      </c>
      <c r="J17" t="s">
        <v>73</v>
      </c>
      <c r="K17" t="s">
        <v>109</v>
      </c>
      <c r="L17" t="s">
        <v>110</v>
      </c>
      <c r="M17" t="s">
        <v>54</v>
      </c>
      <c r="N17" t="s">
        <v>38</v>
      </c>
      <c r="O17">
        <v>17</v>
      </c>
      <c r="P17">
        <v>30</v>
      </c>
      <c r="Q17">
        <v>0.56669999999999998</v>
      </c>
      <c r="R17">
        <v>510</v>
      </c>
      <c r="S17" s="1">
        <v>1938</v>
      </c>
      <c r="T17" t="s">
        <v>111</v>
      </c>
      <c r="U17" t="s">
        <v>112</v>
      </c>
      <c r="V17" s="1">
        <v>969.25</v>
      </c>
      <c r="W17" s="2">
        <f>Merged_Clinical_Finance_Data[[#This Row],[Occupied_Beds]]/Merged_Clinical_Finance_Data[[#This Row],[Total_Beds]]</f>
        <v>0.56666666666666665</v>
      </c>
      <c r="X17">
        <f>IF(Merged_Clinical_Finance_Data[[#This Row],[30Day_Readmission]]="Yes",1,0)</f>
        <v>0</v>
      </c>
      <c r="Y17" t="str" cm="1">
        <f t="array" ref="Y1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7" t="str" cm="1">
        <f t="array" ref="Z17">_xlfn.IFS(Merged_Clinical_Finance_Data[[#This Row],[Length_of_Stay_Days]]&lt;3,"Short (&lt;3)",Merged_Clinical_Finance_Data[[#This Row],[Length_of_Stay_Days]]&lt;=7,"Medium (3-7)",TRUE,"Long (&gt;7)")</f>
        <v>Medium (3-7)</v>
      </c>
      <c r="AA17" s="3">
        <f>EOMONTH(Merged_Clinical_Finance_Data[[#This Row],[Admission_Date]],-1)+1</f>
        <v>45870</v>
      </c>
      <c r="AB17" s="1">
        <f>Merged_Clinical_Finance_Data[[#This Row],[Daily_Bed_Cost_GBP]]*Merged_Clinical_Finance_Data[[#This Row],[Length_of_Stay_Days]]</f>
        <v>1938</v>
      </c>
      <c r="AC17" t="str">
        <f>IF(Merged_Clinical_Finance_Data[[#This Row],[Total_Encounter_Cost_Naira]]&gt;AVERAGE(Merged_Clinical_Finance_Data[[#This Row],[Total_Encounter_Cost_Naira]]),"High","Normal")</f>
        <v>Normal</v>
      </c>
    </row>
    <row r="18" spans="1:29" x14ac:dyDescent="0.25">
      <c r="A18" t="s">
        <v>113</v>
      </c>
      <c r="B18" t="s">
        <v>114</v>
      </c>
      <c r="C18" t="s">
        <v>115</v>
      </c>
      <c r="D18" t="s">
        <v>32</v>
      </c>
      <c r="E18" s="3">
        <v>45826</v>
      </c>
      <c r="F18" s="3">
        <v>45829</v>
      </c>
      <c r="G18">
        <v>3.4</v>
      </c>
      <c r="H18">
        <v>75</v>
      </c>
      <c r="I18" t="s">
        <v>33</v>
      </c>
      <c r="J18" t="s">
        <v>44</v>
      </c>
      <c r="K18" t="s">
        <v>116</v>
      </c>
      <c r="L18" t="s">
        <v>117</v>
      </c>
      <c r="M18" t="s">
        <v>47</v>
      </c>
      <c r="N18" t="s">
        <v>38</v>
      </c>
      <c r="O18">
        <v>20</v>
      </c>
      <c r="P18">
        <v>30</v>
      </c>
      <c r="Q18">
        <v>0.66669999999999996</v>
      </c>
      <c r="R18">
        <v>375</v>
      </c>
      <c r="S18" s="1">
        <v>1275</v>
      </c>
      <c r="T18" t="s">
        <v>39</v>
      </c>
      <c r="U18" t="s">
        <v>40</v>
      </c>
      <c r="V18" s="1">
        <v>1721.51</v>
      </c>
      <c r="W18" s="2">
        <f>Merged_Clinical_Finance_Data[[#This Row],[Occupied_Beds]]/Merged_Clinical_Finance_Data[[#This Row],[Total_Beds]]</f>
        <v>0.66666666666666663</v>
      </c>
      <c r="X18">
        <f>IF(Merged_Clinical_Finance_Data[[#This Row],[30Day_Readmission]]="Yes",1,0)</f>
        <v>0</v>
      </c>
      <c r="Y18" t="str" cm="1">
        <f t="array" ref="Y1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8" t="str" cm="1">
        <f t="array" ref="Z18">_xlfn.IFS(Merged_Clinical_Finance_Data[[#This Row],[Length_of_Stay_Days]]&lt;3,"Short (&lt;3)",Merged_Clinical_Finance_Data[[#This Row],[Length_of_Stay_Days]]&lt;=7,"Medium (3-7)",TRUE,"Long (&gt;7)")</f>
        <v>Medium (3-7)</v>
      </c>
      <c r="AA18" s="3">
        <f>EOMONTH(Merged_Clinical_Finance_Data[[#This Row],[Admission_Date]],-1)+1</f>
        <v>45809</v>
      </c>
      <c r="AB18" s="1">
        <f>Merged_Clinical_Finance_Data[[#This Row],[Daily_Bed_Cost_GBP]]*Merged_Clinical_Finance_Data[[#This Row],[Length_of_Stay_Days]]</f>
        <v>1275</v>
      </c>
      <c r="AC18" t="str">
        <f>IF(Merged_Clinical_Finance_Data[[#This Row],[Total_Encounter_Cost_Naira]]&gt;AVERAGE(Merged_Clinical_Finance_Data[[#This Row],[Total_Encounter_Cost_Naira]]),"High","Normal")</f>
        <v>Normal</v>
      </c>
    </row>
    <row r="19" spans="1:29" x14ac:dyDescent="0.25">
      <c r="A19" t="s">
        <v>118</v>
      </c>
      <c r="B19" t="s">
        <v>58</v>
      </c>
      <c r="C19" t="s">
        <v>59</v>
      </c>
      <c r="D19" t="s">
        <v>32</v>
      </c>
      <c r="E19" s="3">
        <v>45752</v>
      </c>
      <c r="F19" s="3">
        <v>45759</v>
      </c>
      <c r="G19">
        <v>7</v>
      </c>
      <c r="H19">
        <v>79</v>
      </c>
      <c r="I19" t="s">
        <v>33</v>
      </c>
      <c r="J19" t="s">
        <v>81</v>
      </c>
      <c r="K19" t="s">
        <v>62</v>
      </c>
      <c r="L19" t="s">
        <v>119</v>
      </c>
      <c r="M19" t="s">
        <v>37</v>
      </c>
      <c r="N19" t="s">
        <v>38</v>
      </c>
      <c r="O19">
        <v>26</v>
      </c>
      <c r="P19">
        <v>30</v>
      </c>
      <c r="Q19">
        <v>0.86670000000000003</v>
      </c>
      <c r="R19">
        <v>375</v>
      </c>
      <c r="S19" s="1">
        <v>2625</v>
      </c>
      <c r="T19" t="s">
        <v>55</v>
      </c>
      <c r="U19" t="s">
        <v>56</v>
      </c>
      <c r="V19" s="1">
        <v>771.94</v>
      </c>
      <c r="W19" s="2">
        <f>Merged_Clinical_Finance_Data[[#This Row],[Occupied_Beds]]/Merged_Clinical_Finance_Data[[#This Row],[Total_Beds]]</f>
        <v>0.8666666666666667</v>
      </c>
      <c r="X19">
        <f>IF(Merged_Clinical_Finance_Data[[#This Row],[30Day_Readmission]]="Yes",1,0)</f>
        <v>0</v>
      </c>
      <c r="Y19" t="str" cm="1">
        <f t="array" ref="Y1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9" t="str" cm="1">
        <f t="array" ref="Z19">_xlfn.IFS(Merged_Clinical_Finance_Data[[#This Row],[Length_of_Stay_Days]]&lt;3,"Short (&lt;3)",Merged_Clinical_Finance_Data[[#This Row],[Length_of_Stay_Days]]&lt;=7,"Medium (3-7)",TRUE,"Long (&gt;7)")</f>
        <v>Medium (3-7)</v>
      </c>
      <c r="AA19" s="3">
        <f>EOMONTH(Merged_Clinical_Finance_Data[[#This Row],[Admission_Date]],-1)+1</f>
        <v>45748</v>
      </c>
      <c r="AB19" s="1">
        <f>Merged_Clinical_Finance_Data[[#This Row],[Daily_Bed_Cost_GBP]]*Merged_Clinical_Finance_Data[[#This Row],[Length_of_Stay_Days]]</f>
        <v>2625</v>
      </c>
      <c r="AC19" t="str">
        <f>IF(Merged_Clinical_Finance_Data[[#This Row],[Total_Encounter_Cost_Naira]]&gt;AVERAGE(Merged_Clinical_Finance_Data[[#This Row],[Total_Encounter_Cost_Naira]]),"High","Normal")</f>
        <v>Normal</v>
      </c>
    </row>
    <row r="20" spans="1:29" x14ac:dyDescent="0.25">
      <c r="A20" t="s">
        <v>120</v>
      </c>
      <c r="B20" t="s">
        <v>107</v>
      </c>
      <c r="C20" t="s">
        <v>108</v>
      </c>
      <c r="D20" t="s">
        <v>60</v>
      </c>
      <c r="E20" s="3">
        <v>45826</v>
      </c>
      <c r="F20" s="3">
        <v>45832</v>
      </c>
      <c r="G20">
        <v>6.8</v>
      </c>
      <c r="H20">
        <v>18</v>
      </c>
      <c r="I20" t="s">
        <v>43</v>
      </c>
      <c r="J20" t="s">
        <v>81</v>
      </c>
      <c r="K20" t="s">
        <v>109</v>
      </c>
      <c r="L20" t="s">
        <v>121</v>
      </c>
      <c r="M20" t="s">
        <v>54</v>
      </c>
      <c r="N20" t="s">
        <v>71</v>
      </c>
      <c r="O20">
        <v>17</v>
      </c>
      <c r="P20">
        <v>30</v>
      </c>
      <c r="Q20">
        <v>0.56669999999999998</v>
      </c>
      <c r="R20">
        <v>400</v>
      </c>
      <c r="S20" s="1">
        <v>2720</v>
      </c>
      <c r="T20" t="s">
        <v>64</v>
      </c>
      <c r="U20" t="s">
        <v>65</v>
      </c>
      <c r="V20" s="1">
        <v>1577.69</v>
      </c>
      <c r="W20" s="2">
        <f>Merged_Clinical_Finance_Data[[#This Row],[Occupied_Beds]]/Merged_Clinical_Finance_Data[[#This Row],[Total_Beds]]</f>
        <v>0.56666666666666665</v>
      </c>
      <c r="X20">
        <f>IF(Merged_Clinical_Finance_Data[[#This Row],[30Day_Readmission]]="Yes",1,0)</f>
        <v>1</v>
      </c>
      <c r="Y20" t="str" cm="1">
        <f t="array" ref="Y2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0" t="str" cm="1">
        <f t="array" ref="Z20">_xlfn.IFS(Merged_Clinical_Finance_Data[[#This Row],[Length_of_Stay_Days]]&lt;3,"Short (&lt;3)",Merged_Clinical_Finance_Data[[#This Row],[Length_of_Stay_Days]]&lt;=7,"Medium (3-7)",TRUE,"Long (&gt;7)")</f>
        <v>Medium (3-7)</v>
      </c>
      <c r="AA20" s="3">
        <f>EOMONTH(Merged_Clinical_Finance_Data[[#This Row],[Admission_Date]],-1)+1</f>
        <v>45809</v>
      </c>
      <c r="AB20" s="1">
        <f>Merged_Clinical_Finance_Data[[#This Row],[Daily_Bed_Cost_GBP]]*Merged_Clinical_Finance_Data[[#This Row],[Length_of_Stay_Days]]</f>
        <v>2720</v>
      </c>
      <c r="AC20" t="str">
        <f>IF(Merged_Clinical_Finance_Data[[#This Row],[Total_Encounter_Cost_Naira]]&gt;AVERAGE(Merged_Clinical_Finance_Data[[#This Row],[Total_Encounter_Cost_Naira]]),"High","Normal")</f>
        <v>Normal</v>
      </c>
    </row>
    <row r="21" spans="1:29" x14ac:dyDescent="0.25">
      <c r="A21" t="s">
        <v>122</v>
      </c>
      <c r="B21" t="s">
        <v>67</v>
      </c>
      <c r="C21" t="s">
        <v>68</v>
      </c>
      <c r="D21" t="s">
        <v>60</v>
      </c>
      <c r="E21" s="3">
        <v>45861</v>
      </c>
      <c r="F21" s="3">
        <v>45862</v>
      </c>
      <c r="G21">
        <v>1.2</v>
      </c>
      <c r="H21">
        <v>47</v>
      </c>
      <c r="I21" t="s">
        <v>43</v>
      </c>
      <c r="J21" t="s">
        <v>51</v>
      </c>
      <c r="K21" t="s">
        <v>69</v>
      </c>
      <c r="L21" t="s">
        <v>70</v>
      </c>
      <c r="M21" t="s">
        <v>74</v>
      </c>
      <c r="N21" t="s">
        <v>38</v>
      </c>
      <c r="O21">
        <v>25</v>
      </c>
      <c r="P21">
        <v>30</v>
      </c>
      <c r="Q21">
        <v>0.83330000000000004</v>
      </c>
      <c r="R21">
        <v>510</v>
      </c>
      <c r="S21" s="1">
        <v>612</v>
      </c>
      <c r="T21" t="s">
        <v>96</v>
      </c>
      <c r="U21" t="s">
        <v>97</v>
      </c>
      <c r="V21" s="1">
        <v>1391.63</v>
      </c>
      <c r="W21" s="2">
        <f>Merged_Clinical_Finance_Data[[#This Row],[Occupied_Beds]]/Merged_Clinical_Finance_Data[[#This Row],[Total_Beds]]</f>
        <v>0.83333333333333337</v>
      </c>
      <c r="X21">
        <f>IF(Merged_Clinical_Finance_Data[[#This Row],[30Day_Readmission]]="Yes",1,0)</f>
        <v>0</v>
      </c>
      <c r="Y21" t="str" cm="1">
        <f t="array" ref="Y2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1" t="str" cm="1">
        <f t="array" ref="Z21">_xlfn.IFS(Merged_Clinical_Finance_Data[[#This Row],[Length_of_Stay_Days]]&lt;3,"Short (&lt;3)",Merged_Clinical_Finance_Data[[#This Row],[Length_of_Stay_Days]]&lt;=7,"Medium (3-7)",TRUE,"Long (&gt;7)")</f>
        <v>Short (&lt;3)</v>
      </c>
      <c r="AA21" s="3">
        <f>EOMONTH(Merged_Clinical_Finance_Data[[#This Row],[Admission_Date]],-1)+1</f>
        <v>45839</v>
      </c>
      <c r="AB21" s="1">
        <f>Merged_Clinical_Finance_Data[[#This Row],[Daily_Bed_Cost_GBP]]*Merged_Clinical_Finance_Data[[#This Row],[Length_of_Stay_Days]]</f>
        <v>612</v>
      </c>
      <c r="AC21" t="str">
        <f>IF(Merged_Clinical_Finance_Data[[#This Row],[Total_Encounter_Cost_Naira]]&gt;AVERAGE(Merged_Clinical_Finance_Data[[#This Row],[Total_Encounter_Cost_Naira]]),"High","Normal")</f>
        <v>Normal</v>
      </c>
    </row>
    <row r="22" spans="1:29" x14ac:dyDescent="0.25">
      <c r="A22" t="s">
        <v>123</v>
      </c>
      <c r="B22" t="s">
        <v>102</v>
      </c>
      <c r="C22" t="s">
        <v>103</v>
      </c>
      <c r="D22" t="s">
        <v>42</v>
      </c>
      <c r="E22" s="3">
        <v>45717</v>
      </c>
      <c r="F22" s="3">
        <v>45718</v>
      </c>
      <c r="G22">
        <v>1.5</v>
      </c>
      <c r="H22">
        <v>64</v>
      </c>
      <c r="I22" t="s">
        <v>33</v>
      </c>
      <c r="J22" t="s">
        <v>61</v>
      </c>
      <c r="K22" t="s">
        <v>104</v>
      </c>
      <c r="L22" t="s">
        <v>124</v>
      </c>
      <c r="M22" t="s">
        <v>74</v>
      </c>
      <c r="N22" t="s">
        <v>38</v>
      </c>
      <c r="O22">
        <v>29</v>
      </c>
      <c r="P22">
        <v>30</v>
      </c>
      <c r="Q22">
        <v>0.9667</v>
      </c>
      <c r="R22">
        <v>400</v>
      </c>
      <c r="S22" s="1">
        <v>600</v>
      </c>
      <c r="T22" t="s">
        <v>64</v>
      </c>
      <c r="U22" t="s">
        <v>65</v>
      </c>
      <c r="V22" s="1">
        <v>1848.22</v>
      </c>
      <c r="W22" s="2">
        <f>Merged_Clinical_Finance_Data[[#This Row],[Occupied_Beds]]/Merged_Clinical_Finance_Data[[#This Row],[Total_Beds]]</f>
        <v>0.96666666666666667</v>
      </c>
      <c r="X22">
        <f>IF(Merged_Clinical_Finance_Data[[#This Row],[30Day_Readmission]]="Yes",1,0)</f>
        <v>0</v>
      </c>
      <c r="Y22" t="str" cm="1">
        <f t="array" ref="Y2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2" t="str" cm="1">
        <f t="array" ref="Z22">_xlfn.IFS(Merged_Clinical_Finance_Data[[#This Row],[Length_of_Stay_Days]]&lt;3,"Short (&lt;3)",Merged_Clinical_Finance_Data[[#This Row],[Length_of_Stay_Days]]&lt;=7,"Medium (3-7)",TRUE,"Long (&gt;7)")</f>
        <v>Short (&lt;3)</v>
      </c>
      <c r="AA22" s="3">
        <f>EOMONTH(Merged_Clinical_Finance_Data[[#This Row],[Admission_Date]],-1)+1</f>
        <v>45717</v>
      </c>
      <c r="AB22" s="1">
        <f>Merged_Clinical_Finance_Data[[#This Row],[Daily_Bed_Cost_GBP]]*Merged_Clinical_Finance_Data[[#This Row],[Length_of_Stay_Days]]</f>
        <v>600</v>
      </c>
      <c r="AC22" t="str">
        <f>IF(Merged_Clinical_Finance_Data[[#This Row],[Total_Encounter_Cost_Naira]]&gt;AVERAGE(Merged_Clinical_Finance_Data[[#This Row],[Total_Encounter_Cost_Naira]]),"High","Normal")</f>
        <v>Normal</v>
      </c>
    </row>
    <row r="23" spans="1:29" x14ac:dyDescent="0.25">
      <c r="A23" t="s">
        <v>125</v>
      </c>
      <c r="B23" t="s">
        <v>49</v>
      </c>
      <c r="C23" t="s">
        <v>50</v>
      </c>
      <c r="D23" t="s">
        <v>60</v>
      </c>
      <c r="E23" s="3">
        <v>45722</v>
      </c>
      <c r="F23" s="3">
        <v>45731</v>
      </c>
      <c r="G23">
        <v>9.6</v>
      </c>
      <c r="H23">
        <v>29</v>
      </c>
      <c r="I23" t="s">
        <v>33</v>
      </c>
      <c r="J23" t="s">
        <v>73</v>
      </c>
      <c r="K23" t="s">
        <v>52</v>
      </c>
      <c r="L23" t="s">
        <v>126</v>
      </c>
      <c r="M23" t="s">
        <v>47</v>
      </c>
      <c r="N23" t="s">
        <v>38</v>
      </c>
      <c r="O23">
        <v>19</v>
      </c>
      <c r="P23">
        <v>30</v>
      </c>
      <c r="Q23">
        <v>0.63329999999999997</v>
      </c>
      <c r="R23">
        <v>510</v>
      </c>
      <c r="S23" s="1">
        <v>4896</v>
      </c>
      <c r="T23" t="s">
        <v>111</v>
      </c>
      <c r="U23" t="s">
        <v>112</v>
      </c>
      <c r="V23" s="1">
        <v>2058.69</v>
      </c>
      <c r="W23" s="2">
        <f>Merged_Clinical_Finance_Data[[#This Row],[Occupied_Beds]]/Merged_Clinical_Finance_Data[[#This Row],[Total_Beds]]</f>
        <v>0.6333333333333333</v>
      </c>
      <c r="X23">
        <f>IF(Merged_Clinical_Finance_Data[[#This Row],[30Day_Readmission]]="Yes",1,0)</f>
        <v>0</v>
      </c>
      <c r="Y23" t="str" cm="1">
        <f t="array" ref="Y2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3" t="str" cm="1">
        <f t="array" ref="Z23">_xlfn.IFS(Merged_Clinical_Finance_Data[[#This Row],[Length_of_Stay_Days]]&lt;3,"Short (&lt;3)",Merged_Clinical_Finance_Data[[#This Row],[Length_of_Stay_Days]]&lt;=7,"Medium (3-7)",TRUE,"Long (&gt;7)")</f>
        <v>Long (&gt;7)</v>
      </c>
      <c r="AA23" s="3">
        <f>EOMONTH(Merged_Clinical_Finance_Data[[#This Row],[Admission_Date]],-1)+1</f>
        <v>45717</v>
      </c>
      <c r="AB23" s="1">
        <f>Merged_Clinical_Finance_Data[[#This Row],[Daily_Bed_Cost_GBP]]*Merged_Clinical_Finance_Data[[#This Row],[Length_of_Stay_Days]]</f>
        <v>4896</v>
      </c>
      <c r="AC23" t="str">
        <f>IF(Merged_Clinical_Finance_Data[[#This Row],[Total_Encounter_Cost_Naira]]&gt;AVERAGE(Merged_Clinical_Finance_Data[[#This Row],[Total_Encounter_Cost_Naira]]),"High","Normal")</f>
        <v>Normal</v>
      </c>
    </row>
    <row r="24" spans="1:29" x14ac:dyDescent="0.25">
      <c r="A24" t="s">
        <v>127</v>
      </c>
      <c r="B24" t="s">
        <v>67</v>
      </c>
      <c r="C24" t="s">
        <v>68</v>
      </c>
      <c r="D24" t="s">
        <v>42</v>
      </c>
      <c r="E24" s="3">
        <v>45685</v>
      </c>
      <c r="F24" s="3">
        <v>45691</v>
      </c>
      <c r="G24">
        <v>6.4</v>
      </c>
      <c r="H24">
        <v>73</v>
      </c>
      <c r="I24" t="s">
        <v>43</v>
      </c>
      <c r="J24" t="s">
        <v>34</v>
      </c>
      <c r="K24" t="s">
        <v>76</v>
      </c>
      <c r="L24" t="s">
        <v>70</v>
      </c>
      <c r="M24" t="s">
        <v>47</v>
      </c>
      <c r="N24" t="s">
        <v>38</v>
      </c>
      <c r="O24">
        <v>28</v>
      </c>
      <c r="P24">
        <v>30</v>
      </c>
      <c r="Q24">
        <v>0.93330000000000002</v>
      </c>
      <c r="R24">
        <v>425</v>
      </c>
      <c r="S24" s="1">
        <v>2720</v>
      </c>
      <c r="T24" t="s">
        <v>84</v>
      </c>
      <c r="U24" t="s">
        <v>85</v>
      </c>
      <c r="V24" s="1">
        <v>2065.89</v>
      </c>
      <c r="W24" s="2">
        <f>Merged_Clinical_Finance_Data[[#This Row],[Occupied_Beds]]/Merged_Clinical_Finance_Data[[#This Row],[Total_Beds]]</f>
        <v>0.93333333333333335</v>
      </c>
      <c r="X24">
        <f>IF(Merged_Clinical_Finance_Data[[#This Row],[30Day_Readmission]]="Yes",1,0)</f>
        <v>0</v>
      </c>
      <c r="Y24" t="str" cm="1">
        <f t="array" ref="Y2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24" t="str" cm="1">
        <f t="array" ref="Z24">_xlfn.IFS(Merged_Clinical_Finance_Data[[#This Row],[Length_of_Stay_Days]]&lt;3,"Short (&lt;3)",Merged_Clinical_Finance_Data[[#This Row],[Length_of_Stay_Days]]&lt;=7,"Medium (3-7)",TRUE,"Long (&gt;7)")</f>
        <v>Medium (3-7)</v>
      </c>
      <c r="AA24" s="3">
        <f>EOMONTH(Merged_Clinical_Finance_Data[[#This Row],[Admission_Date]],-1)+1</f>
        <v>45658</v>
      </c>
      <c r="AB24" s="1">
        <f>Merged_Clinical_Finance_Data[[#This Row],[Daily_Bed_Cost_GBP]]*Merged_Clinical_Finance_Data[[#This Row],[Length_of_Stay_Days]]</f>
        <v>2720</v>
      </c>
      <c r="AC24" t="str">
        <f>IF(Merged_Clinical_Finance_Data[[#This Row],[Total_Encounter_Cost_Naira]]&gt;AVERAGE(Merged_Clinical_Finance_Data[[#This Row],[Total_Encounter_Cost_Naira]]),"High","Normal")</f>
        <v>Normal</v>
      </c>
    </row>
    <row r="25" spans="1:29" x14ac:dyDescent="0.25">
      <c r="A25" t="s">
        <v>128</v>
      </c>
      <c r="B25" t="s">
        <v>107</v>
      </c>
      <c r="C25" t="s">
        <v>108</v>
      </c>
      <c r="D25" t="s">
        <v>42</v>
      </c>
      <c r="E25" s="3">
        <v>45850</v>
      </c>
      <c r="F25" s="3">
        <v>45857</v>
      </c>
      <c r="G25">
        <v>7.5</v>
      </c>
      <c r="H25">
        <v>48</v>
      </c>
      <c r="I25" t="s">
        <v>33</v>
      </c>
      <c r="J25" t="s">
        <v>81</v>
      </c>
      <c r="K25" t="s">
        <v>109</v>
      </c>
      <c r="L25" t="s">
        <v>129</v>
      </c>
      <c r="M25" t="s">
        <v>47</v>
      </c>
      <c r="N25" t="s">
        <v>38</v>
      </c>
      <c r="O25">
        <v>26</v>
      </c>
      <c r="P25">
        <v>30</v>
      </c>
      <c r="Q25">
        <v>0.86670000000000003</v>
      </c>
      <c r="R25">
        <v>510</v>
      </c>
      <c r="S25" s="1">
        <v>3825</v>
      </c>
      <c r="T25" t="s">
        <v>84</v>
      </c>
      <c r="U25" t="s">
        <v>85</v>
      </c>
      <c r="V25" s="1">
        <v>6716.99</v>
      </c>
      <c r="W25" s="2">
        <f>Merged_Clinical_Finance_Data[[#This Row],[Occupied_Beds]]/Merged_Clinical_Finance_Data[[#This Row],[Total_Beds]]</f>
        <v>0.8666666666666667</v>
      </c>
      <c r="X25">
        <f>IF(Merged_Clinical_Finance_Data[[#This Row],[30Day_Readmission]]="Yes",1,0)</f>
        <v>0</v>
      </c>
      <c r="Y25" t="str" cm="1">
        <f t="array" ref="Y2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5" t="str" cm="1">
        <f t="array" ref="Z25">_xlfn.IFS(Merged_Clinical_Finance_Data[[#This Row],[Length_of_Stay_Days]]&lt;3,"Short (&lt;3)",Merged_Clinical_Finance_Data[[#This Row],[Length_of_Stay_Days]]&lt;=7,"Medium (3-7)",TRUE,"Long (&gt;7)")</f>
        <v>Long (&gt;7)</v>
      </c>
      <c r="AA25" s="3">
        <f>EOMONTH(Merged_Clinical_Finance_Data[[#This Row],[Admission_Date]],-1)+1</f>
        <v>45839</v>
      </c>
      <c r="AB25" s="1">
        <f>Merged_Clinical_Finance_Data[[#This Row],[Daily_Bed_Cost_GBP]]*Merged_Clinical_Finance_Data[[#This Row],[Length_of_Stay_Days]]</f>
        <v>3825</v>
      </c>
      <c r="AC25" t="str">
        <f>IF(Merged_Clinical_Finance_Data[[#This Row],[Total_Encounter_Cost_Naira]]&gt;AVERAGE(Merged_Clinical_Finance_Data[[#This Row],[Total_Encounter_Cost_Naira]]),"High","Normal")</f>
        <v>Normal</v>
      </c>
    </row>
    <row r="26" spans="1:29" x14ac:dyDescent="0.25">
      <c r="A26" t="s">
        <v>130</v>
      </c>
      <c r="B26" t="s">
        <v>79</v>
      </c>
      <c r="C26" t="s">
        <v>80</v>
      </c>
      <c r="D26" t="s">
        <v>42</v>
      </c>
      <c r="E26" s="3">
        <v>45818</v>
      </c>
      <c r="F26" s="3">
        <v>45821</v>
      </c>
      <c r="G26">
        <v>3.4</v>
      </c>
      <c r="H26">
        <v>20</v>
      </c>
      <c r="I26" t="s">
        <v>43</v>
      </c>
      <c r="J26" t="s">
        <v>51</v>
      </c>
      <c r="K26" t="s">
        <v>82</v>
      </c>
      <c r="L26" t="s">
        <v>88</v>
      </c>
      <c r="M26" t="s">
        <v>47</v>
      </c>
      <c r="N26" t="s">
        <v>38</v>
      </c>
      <c r="O26">
        <v>29</v>
      </c>
      <c r="P26">
        <v>30</v>
      </c>
      <c r="Q26">
        <v>0.9667</v>
      </c>
      <c r="R26">
        <v>510</v>
      </c>
      <c r="S26" s="1">
        <v>1734</v>
      </c>
      <c r="T26" t="s">
        <v>96</v>
      </c>
      <c r="U26" t="s">
        <v>97</v>
      </c>
      <c r="V26" s="1">
        <v>1912.02</v>
      </c>
      <c r="W26" s="2">
        <f>Merged_Clinical_Finance_Data[[#This Row],[Occupied_Beds]]/Merged_Clinical_Finance_Data[[#This Row],[Total_Beds]]</f>
        <v>0.96666666666666667</v>
      </c>
      <c r="X26">
        <f>IF(Merged_Clinical_Finance_Data[[#This Row],[30Day_Readmission]]="Yes",1,0)</f>
        <v>0</v>
      </c>
      <c r="Y26" t="str" cm="1">
        <f t="array" ref="Y2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6" t="str" cm="1">
        <f t="array" ref="Z26">_xlfn.IFS(Merged_Clinical_Finance_Data[[#This Row],[Length_of_Stay_Days]]&lt;3,"Short (&lt;3)",Merged_Clinical_Finance_Data[[#This Row],[Length_of_Stay_Days]]&lt;=7,"Medium (3-7)",TRUE,"Long (&gt;7)")</f>
        <v>Medium (3-7)</v>
      </c>
      <c r="AA26" s="3">
        <f>EOMONTH(Merged_Clinical_Finance_Data[[#This Row],[Admission_Date]],-1)+1</f>
        <v>45809</v>
      </c>
      <c r="AB26" s="1">
        <f>Merged_Clinical_Finance_Data[[#This Row],[Daily_Bed_Cost_GBP]]*Merged_Clinical_Finance_Data[[#This Row],[Length_of_Stay_Days]]</f>
        <v>1734</v>
      </c>
      <c r="AC26" t="str">
        <f>IF(Merged_Clinical_Finance_Data[[#This Row],[Total_Encounter_Cost_Naira]]&gt;AVERAGE(Merged_Clinical_Finance_Data[[#This Row],[Total_Encounter_Cost_Naira]]),"High","Normal")</f>
        <v>Normal</v>
      </c>
    </row>
    <row r="27" spans="1:29" x14ac:dyDescent="0.25">
      <c r="A27" t="s">
        <v>131</v>
      </c>
      <c r="B27" t="s">
        <v>114</v>
      </c>
      <c r="C27" t="s">
        <v>115</v>
      </c>
      <c r="D27" t="s">
        <v>42</v>
      </c>
      <c r="E27" s="3">
        <v>45721</v>
      </c>
      <c r="F27" s="3">
        <v>45728</v>
      </c>
      <c r="G27">
        <v>7.4</v>
      </c>
      <c r="H27">
        <v>23</v>
      </c>
      <c r="I27" t="s">
        <v>43</v>
      </c>
      <c r="J27" t="s">
        <v>51</v>
      </c>
      <c r="K27" t="s">
        <v>132</v>
      </c>
      <c r="L27" t="s">
        <v>117</v>
      </c>
      <c r="M27" t="s">
        <v>74</v>
      </c>
      <c r="N27" t="s">
        <v>38</v>
      </c>
      <c r="O27">
        <v>13</v>
      </c>
      <c r="P27">
        <v>30</v>
      </c>
      <c r="Q27">
        <v>0.43330000000000002</v>
      </c>
      <c r="R27">
        <v>400</v>
      </c>
      <c r="S27" s="1">
        <v>2960</v>
      </c>
      <c r="T27" t="s">
        <v>111</v>
      </c>
      <c r="U27" t="s">
        <v>112</v>
      </c>
      <c r="V27" s="1">
        <v>1035.8499999999999</v>
      </c>
      <c r="W27" s="2">
        <f>Merged_Clinical_Finance_Data[[#This Row],[Occupied_Beds]]/Merged_Clinical_Finance_Data[[#This Row],[Total_Beds]]</f>
        <v>0.43333333333333335</v>
      </c>
      <c r="X27">
        <f>IF(Merged_Clinical_Finance_Data[[#This Row],[30Day_Readmission]]="Yes",1,0)</f>
        <v>0</v>
      </c>
      <c r="Y27" t="str" cm="1">
        <f t="array" ref="Y2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7" t="str" cm="1">
        <f t="array" ref="Z27">_xlfn.IFS(Merged_Clinical_Finance_Data[[#This Row],[Length_of_Stay_Days]]&lt;3,"Short (&lt;3)",Merged_Clinical_Finance_Data[[#This Row],[Length_of_Stay_Days]]&lt;=7,"Medium (3-7)",TRUE,"Long (&gt;7)")</f>
        <v>Long (&gt;7)</v>
      </c>
      <c r="AA27" s="3">
        <f>EOMONTH(Merged_Clinical_Finance_Data[[#This Row],[Admission_Date]],-1)+1</f>
        <v>45717</v>
      </c>
      <c r="AB27" s="1">
        <f>Merged_Clinical_Finance_Data[[#This Row],[Daily_Bed_Cost_GBP]]*Merged_Clinical_Finance_Data[[#This Row],[Length_of_Stay_Days]]</f>
        <v>2960</v>
      </c>
      <c r="AC27" t="str">
        <f>IF(Merged_Clinical_Finance_Data[[#This Row],[Total_Encounter_Cost_Naira]]&gt;AVERAGE(Merged_Clinical_Finance_Data[[#This Row],[Total_Encounter_Cost_Naira]]),"High","Normal")</f>
        <v>Normal</v>
      </c>
    </row>
    <row r="28" spans="1:29" x14ac:dyDescent="0.25">
      <c r="A28" t="s">
        <v>133</v>
      </c>
      <c r="B28" t="s">
        <v>30</v>
      </c>
      <c r="C28" t="s">
        <v>31</v>
      </c>
      <c r="D28" t="s">
        <v>42</v>
      </c>
      <c r="E28" s="3">
        <v>45970</v>
      </c>
      <c r="F28" s="3">
        <v>45973</v>
      </c>
      <c r="G28">
        <v>3.6</v>
      </c>
      <c r="H28">
        <v>20</v>
      </c>
      <c r="I28" t="s">
        <v>43</v>
      </c>
      <c r="J28" t="s">
        <v>81</v>
      </c>
      <c r="K28" t="s">
        <v>35</v>
      </c>
      <c r="L28" t="s">
        <v>134</v>
      </c>
      <c r="M28" t="s">
        <v>37</v>
      </c>
      <c r="N28" t="s">
        <v>38</v>
      </c>
      <c r="O28">
        <v>19</v>
      </c>
      <c r="P28">
        <v>30</v>
      </c>
      <c r="Q28">
        <v>0.63329999999999997</v>
      </c>
      <c r="R28">
        <v>480</v>
      </c>
      <c r="S28" s="1">
        <v>1728</v>
      </c>
      <c r="T28" t="s">
        <v>39</v>
      </c>
      <c r="U28" t="s">
        <v>40</v>
      </c>
      <c r="V28" s="1">
        <v>1694.8</v>
      </c>
      <c r="W28" s="2">
        <f>Merged_Clinical_Finance_Data[[#This Row],[Occupied_Beds]]/Merged_Clinical_Finance_Data[[#This Row],[Total_Beds]]</f>
        <v>0.6333333333333333</v>
      </c>
      <c r="X28">
        <f>IF(Merged_Clinical_Finance_Data[[#This Row],[30Day_Readmission]]="Yes",1,0)</f>
        <v>0</v>
      </c>
      <c r="Y28" t="str" cm="1">
        <f t="array" ref="Y2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8" t="str" cm="1">
        <f t="array" ref="Z28">_xlfn.IFS(Merged_Clinical_Finance_Data[[#This Row],[Length_of_Stay_Days]]&lt;3,"Short (&lt;3)",Merged_Clinical_Finance_Data[[#This Row],[Length_of_Stay_Days]]&lt;=7,"Medium (3-7)",TRUE,"Long (&gt;7)")</f>
        <v>Medium (3-7)</v>
      </c>
      <c r="AA28" s="3">
        <f>EOMONTH(Merged_Clinical_Finance_Data[[#This Row],[Admission_Date]],-1)+1</f>
        <v>45962</v>
      </c>
      <c r="AB28" s="1">
        <f>Merged_Clinical_Finance_Data[[#This Row],[Daily_Bed_Cost_GBP]]*Merged_Clinical_Finance_Data[[#This Row],[Length_of_Stay_Days]]</f>
        <v>1728</v>
      </c>
      <c r="AC28" t="str">
        <f>IF(Merged_Clinical_Finance_Data[[#This Row],[Total_Encounter_Cost_Naira]]&gt;AVERAGE(Merged_Clinical_Finance_Data[[#This Row],[Total_Encounter_Cost_Naira]]),"High","Normal")</f>
        <v>Normal</v>
      </c>
    </row>
    <row r="29" spans="1:29" x14ac:dyDescent="0.25">
      <c r="A29" t="s">
        <v>135</v>
      </c>
      <c r="B29" t="s">
        <v>67</v>
      </c>
      <c r="C29" t="s">
        <v>68</v>
      </c>
      <c r="D29" t="s">
        <v>32</v>
      </c>
      <c r="E29" s="3">
        <v>45685</v>
      </c>
      <c r="F29" s="3">
        <v>45687</v>
      </c>
      <c r="G29">
        <v>2.2999999999999998</v>
      </c>
      <c r="H29">
        <v>38</v>
      </c>
      <c r="I29" t="s">
        <v>33</v>
      </c>
      <c r="J29" t="s">
        <v>44</v>
      </c>
      <c r="K29" t="s">
        <v>76</v>
      </c>
      <c r="L29" t="s">
        <v>70</v>
      </c>
      <c r="M29" t="s">
        <v>47</v>
      </c>
      <c r="N29" t="s">
        <v>38</v>
      </c>
      <c r="O29">
        <v>17</v>
      </c>
      <c r="P29">
        <v>30</v>
      </c>
      <c r="Q29">
        <v>0.56669999999999998</v>
      </c>
      <c r="R29">
        <v>375</v>
      </c>
      <c r="S29" s="1">
        <v>862.5</v>
      </c>
      <c r="T29" t="s">
        <v>136</v>
      </c>
      <c r="U29" t="s">
        <v>137</v>
      </c>
      <c r="V29" s="1">
        <v>1259.5999999999999</v>
      </c>
      <c r="W29" s="2">
        <f>Merged_Clinical_Finance_Data[[#This Row],[Occupied_Beds]]/Merged_Clinical_Finance_Data[[#This Row],[Total_Beds]]</f>
        <v>0.56666666666666665</v>
      </c>
      <c r="X29">
        <f>IF(Merged_Clinical_Finance_Data[[#This Row],[30Day_Readmission]]="Yes",1,0)</f>
        <v>0</v>
      </c>
      <c r="Y29" t="str" cm="1">
        <f t="array" ref="Y2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9" t="str" cm="1">
        <f t="array" ref="Z29">_xlfn.IFS(Merged_Clinical_Finance_Data[[#This Row],[Length_of_Stay_Days]]&lt;3,"Short (&lt;3)",Merged_Clinical_Finance_Data[[#This Row],[Length_of_Stay_Days]]&lt;=7,"Medium (3-7)",TRUE,"Long (&gt;7)")</f>
        <v>Short (&lt;3)</v>
      </c>
      <c r="AA29" s="3">
        <f>EOMONTH(Merged_Clinical_Finance_Data[[#This Row],[Admission_Date]],-1)+1</f>
        <v>45658</v>
      </c>
      <c r="AB29" s="1">
        <f>Merged_Clinical_Finance_Data[[#This Row],[Daily_Bed_Cost_GBP]]*Merged_Clinical_Finance_Data[[#This Row],[Length_of_Stay_Days]]</f>
        <v>862.49999999999989</v>
      </c>
      <c r="AC29" t="str">
        <f>IF(Merged_Clinical_Finance_Data[[#This Row],[Total_Encounter_Cost_Naira]]&gt;AVERAGE(Merged_Clinical_Finance_Data[[#This Row],[Total_Encounter_Cost_Naira]]),"High","Normal")</f>
        <v>Normal</v>
      </c>
    </row>
    <row r="30" spans="1:29" x14ac:dyDescent="0.25">
      <c r="A30" t="s">
        <v>138</v>
      </c>
      <c r="B30" t="s">
        <v>114</v>
      </c>
      <c r="C30" t="s">
        <v>115</v>
      </c>
      <c r="D30" t="s">
        <v>60</v>
      </c>
      <c r="E30" s="3">
        <v>45788</v>
      </c>
      <c r="F30" s="3">
        <v>45792</v>
      </c>
      <c r="G30">
        <v>4</v>
      </c>
      <c r="H30">
        <v>37</v>
      </c>
      <c r="I30" t="s">
        <v>33</v>
      </c>
      <c r="J30" t="s">
        <v>81</v>
      </c>
      <c r="K30" t="s">
        <v>116</v>
      </c>
      <c r="L30" t="s">
        <v>139</v>
      </c>
      <c r="M30" t="s">
        <v>54</v>
      </c>
      <c r="N30" t="s">
        <v>38</v>
      </c>
      <c r="O30">
        <v>17</v>
      </c>
      <c r="P30">
        <v>30</v>
      </c>
      <c r="Q30">
        <v>0.56669999999999998</v>
      </c>
      <c r="R30">
        <v>350</v>
      </c>
      <c r="S30" s="1">
        <v>1400</v>
      </c>
      <c r="T30" t="s">
        <v>89</v>
      </c>
      <c r="U30" t="s">
        <v>90</v>
      </c>
      <c r="V30" s="1">
        <v>5999.05</v>
      </c>
      <c r="W30" s="2">
        <f>Merged_Clinical_Finance_Data[[#This Row],[Occupied_Beds]]/Merged_Clinical_Finance_Data[[#This Row],[Total_Beds]]</f>
        <v>0.56666666666666665</v>
      </c>
      <c r="X30">
        <f>IF(Merged_Clinical_Finance_Data[[#This Row],[30Day_Readmission]]="Yes",1,0)</f>
        <v>0</v>
      </c>
      <c r="Y30" t="str" cm="1">
        <f t="array" ref="Y3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30" t="str" cm="1">
        <f t="array" ref="Z30">_xlfn.IFS(Merged_Clinical_Finance_Data[[#This Row],[Length_of_Stay_Days]]&lt;3,"Short (&lt;3)",Merged_Clinical_Finance_Data[[#This Row],[Length_of_Stay_Days]]&lt;=7,"Medium (3-7)",TRUE,"Long (&gt;7)")</f>
        <v>Medium (3-7)</v>
      </c>
      <c r="AA30" s="3">
        <f>EOMONTH(Merged_Clinical_Finance_Data[[#This Row],[Admission_Date]],-1)+1</f>
        <v>45778</v>
      </c>
      <c r="AB30" s="1">
        <f>Merged_Clinical_Finance_Data[[#This Row],[Daily_Bed_Cost_GBP]]*Merged_Clinical_Finance_Data[[#This Row],[Length_of_Stay_Days]]</f>
        <v>1400</v>
      </c>
      <c r="AC30" t="str">
        <f>IF(Merged_Clinical_Finance_Data[[#This Row],[Total_Encounter_Cost_Naira]]&gt;AVERAGE(Merged_Clinical_Finance_Data[[#This Row],[Total_Encounter_Cost_Naira]]),"High","Normal")</f>
        <v>Normal</v>
      </c>
    </row>
    <row r="31" spans="1:29" x14ac:dyDescent="0.25">
      <c r="A31" t="s">
        <v>140</v>
      </c>
      <c r="B31" t="s">
        <v>102</v>
      </c>
      <c r="C31" t="s">
        <v>103</v>
      </c>
      <c r="D31" t="s">
        <v>42</v>
      </c>
      <c r="E31" s="3">
        <v>45880</v>
      </c>
      <c r="F31" s="3">
        <v>45880</v>
      </c>
      <c r="G31">
        <v>0.8</v>
      </c>
      <c r="H31">
        <v>29</v>
      </c>
      <c r="I31" t="s">
        <v>43</v>
      </c>
      <c r="J31" t="s">
        <v>61</v>
      </c>
      <c r="K31" t="s">
        <v>104</v>
      </c>
      <c r="L31" t="s">
        <v>124</v>
      </c>
      <c r="M31" t="s">
        <v>74</v>
      </c>
      <c r="N31" t="s">
        <v>38</v>
      </c>
      <c r="O31">
        <v>27</v>
      </c>
      <c r="P31">
        <v>30</v>
      </c>
      <c r="Q31">
        <v>0.9</v>
      </c>
      <c r="R31">
        <v>450</v>
      </c>
      <c r="S31" s="1">
        <v>360</v>
      </c>
      <c r="T31" t="s">
        <v>136</v>
      </c>
      <c r="U31" t="s">
        <v>137</v>
      </c>
      <c r="V31" s="1">
        <v>1780.61</v>
      </c>
      <c r="W31" s="2">
        <f>Merged_Clinical_Finance_Data[[#This Row],[Occupied_Beds]]/Merged_Clinical_Finance_Data[[#This Row],[Total_Beds]]</f>
        <v>0.9</v>
      </c>
      <c r="X31">
        <f>IF(Merged_Clinical_Finance_Data[[#This Row],[30Day_Readmission]]="Yes",1,0)</f>
        <v>0</v>
      </c>
      <c r="Y31" t="str" cm="1">
        <f t="array" ref="Y3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31" t="str" cm="1">
        <f t="array" ref="Z31">_xlfn.IFS(Merged_Clinical_Finance_Data[[#This Row],[Length_of_Stay_Days]]&lt;3,"Short (&lt;3)",Merged_Clinical_Finance_Data[[#This Row],[Length_of_Stay_Days]]&lt;=7,"Medium (3-7)",TRUE,"Long (&gt;7)")</f>
        <v>Short (&lt;3)</v>
      </c>
      <c r="AA31" s="3">
        <f>EOMONTH(Merged_Clinical_Finance_Data[[#This Row],[Admission_Date]],-1)+1</f>
        <v>45870</v>
      </c>
      <c r="AB31" s="1">
        <f>Merged_Clinical_Finance_Data[[#This Row],[Daily_Bed_Cost_GBP]]*Merged_Clinical_Finance_Data[[#This Row],[Length_of_Stay_Days]]</f>
        <v>360</v>
      </c>
      <c r="AC31" t="str">
        <f>IF(Merged_Clinical_Finance_Data[[#This Row],[Total_Encounter_Cost_Naira]]&gt;AVERAGE(Merged_Clinical_Finance_Data[[#This Row],[Total_Encounter_Cost_Naira]]),"High","Normal")</f>
        <v>Normal</v>
      </c>
    </row>
    <row r="32" spans="1:29" x14ac:dyDescent="0.25">
      <c r="A32" t="s">
        <v>141</v>
      </c>
      <c r="B32" t="s">
        <v>102</v>
      </c>
      <c r="C32" t="s">
        <v>103</v>
      </c>
      <c r="D32" t="s">
        <v>60</v>
      </c>
      <c r="E32" s="3">
        <v>45881</v>
      </c>
      <c r="F32" s="3">
        <v>45882</v>
      </c>
      <c r="G32">
        <v>1.7</v>
      </c>
      <c r="H32">
        <v>40</v>
      </c>
      <c r="I32" t="s">
        <v>43</v>
      </c>
      <c r="J32" t="s">
        <v>44</v>
      </c>
      <c r="K32" t="s">
        <v>104</v>
      </c>
      <c r="L32" t="s">
        <v>124</v>
      </c>
      <c r="M32" t="s">
        <v>74</v>
      </c>
      <c r="N32" t="s">
        <v>38</v>
      </c>
      <c r="O32">
        <v>17</v>
      </c>
      <c r="P32">
        <v>30</v>
      </c>
      <c r="Q32">
        <v>0.56669999999999998</v>
      </c>
      <c r="R32">
        <v>400</v>
      </c>
      <c r="S32" s="1">
        <v>680</v>
      </c>
      <c r="T32" t="s">
        <v>39</v>
      </c>
      <c r="U32" t="s">
        <v>40</v>
      </c>
      <c r="V32" s="1">
        <v>3281.62</v>
      </c>
      <c r="W32" s="2">
        <f>Merged_Clinical_Finance_Data[[#This Row],[Occupied_Beds]]/Merged_Clinical_Finance_Data[[#This Row],[Total_Beds]]</f>
        <v>0.56666666666666665</v>
      </c>
      <c r="X32">
        <f>IF(Merged_Clinical_Finance_Data[[#This Row],[30Day_Readmission]]="Yes",1,0)</f>
        <v>0</v>
      </c>
      <c r="Y32" t="str" cm="1">
        <f t="array" ref="Y3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32" t="str" cm="1">
        <f t="array" ref="Z32">_xlfn.IFS(Merged_Clinical_Finance_Data[[#This Row],[Length_of_Stay_Days]]&lt;3,"Short (&lt;3)",Merged_Clinical_Finance_Data[[#This Row],[Length_of_Stay_Days]]&lt;=7,"Medium (3-7)",TRUE,"Long (&gt;7)")</f>
        <v>Short (&lt;3)</v>
      </c>
      <c r="AA32" s="3">
        <f>EOMONTH(Merged_Clinical_Finance_Data[[#This Row],[Admission_Date]],-1)+1</f>
        <v>45870</v>
      </c>
      <c r="AB32" s="1">
        <f>Merged_Clinical_Finance_Data[[#This Row],[Daily_Bed_Cost_GBP]]*Merged_Clinical_Finance_Data[[#This Row],[Length_of_Stay_Days]]</f>
        <v>680</v>
      </c>
      <c r="AC32" t="str">
        <f>IF(Merged_Clinical_Finance_Data[[#This Row],[Total_Encounter_Cost_Naira]]&gt;AVERAGE(Merged_Clinical_Finance_Data[[#This Row],[Total_Encounter_Cost_Naira]]),"High","Normal")</f>
        <v>Normal</v>
      </c>
    </row>
    <row r="33" spans="1:29" x14ac:dyDescent="0.25">
      <c r="A33" t="s">
        <v>142</v>
      </c>
      <c r="B33" t="s">
        <v>49</v>
      </c>
      <c r="C33" t="s">
        <v>50</v>
      </c>
      <c r="D33" t="s">
        <v>42</v>
      </c>
      <c r="E33" s="3">
        <v>45781</v>
      </c>
      <c r="F33" s="3">
        <v>45788</v>
      </c>
      <c r="G33">
        <v>7.2</v>
      </c>
      <c r="H33">
        <v>71</v>
      </c>
      <c r="I33" t="s">
        <v>33</v>
      </c>
      <c r="J33" t="s">
        <v>61</v>
      </c>
      <c r="K33" t="s">
        <v>143</v>
      </c>
      <c r="L33" t="s">
        <v>126</v>
      </c>
      <c r="M33" t="s">
        <v>47</v>
      </c>
      <c r="N33" t="s">
        <v>38</v>
      </c>
      <c r="O33">
        <v>30</v>
      </c>
      <c r="P33">
        <v>30</v>
      </c>
      <c r="Q33">
        <v>1</v>
      </c>
      <c r="R33">
        <v>400</v>
      </c>
      <c r="S33" s="1">
        <v>2880</v>
      </c>
      <c r="T33" t="s">
        <v>55</v>
      </c>
      <c r="U33" t="s">
        <v>56</v>
      </c>
      <c r="V33" s="1">
        <v>402.57</v>
      </c>
      <c r="W33" s="2">
        <f>Merged_Clinical_Finance_Data[[#This Row],[Occupied_Beds]]/Merged_Clinical_Finance_Data[[#This Row],[Total_Beds]]</f>
        <v>1</v>
      </c>
      <c r="X33">
        <f>IF(Merged_Clinical_Finance_Data[[#This Row],[30Day_Readmission]]="Yes",1,0)</f>
        <v>0</v>
      </c>
      <c r="Y33" t="str" cm="1">
        <f t="array" ref="Y3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33" t="str" cm="1">
        <f t="array" ref="Z33">_xlfn.IFS(Merged_Clinical_Finance_Data[[#This Row],[Length_of_Stay_Days]]&lt;3,"Short (&lt;3)",Merged_Clinical_Finance_Data[[#This Row],[Length_of_Stay_Days]]&lt;=7,"Medium (3-7)",TRUE,"Long (&gt;7)")</f>
        <v>Long (&gt;7)</v>
      </c>
      <c r="AA33" s="3">
        <f>EOMONTH(Merged_Clinical_Finance_Data[[#This Row],[Admission_Date]],-1)+1</f>
        <v>45778</v>
      </c>
      <c r="AB33" s="1">
        <f>Merged_Clinical_Finance_Data[[#This Row],[Daily_Bed_Cost_GBP]]*Merged_Clinical_Finance_Data[[#This Row],[Length_of_Stay_Days]]</f>
        <v>2880</v>
      </c>
      <c r="AC33" t="str">
        <f>IF(Merged_Clinical_Finance_Data[[#This Row],[Total_Encounter_Cost_Naira]]&gt;AVERAGE(Merged_Clinical_Finance_Data[[#This Row],[Total_Encounter_Cost_Naira]]),"High","Normal")</f>
        <v>Normal</v>
      </c>
    </row>
    <row r="34" spans="1:29" x14ac:dyDescent="0.25">
      <c r="A34" t="s">
        <v>144</v>
      </c>
      <c r="B34" t="s">
        <v>79</v>
      </c>
      <c r="C34" t="s">
        <v>80</v>
      </c>
      <c r="D34" t="s">
        <v>32</v>
      </c>
      <c r="E34" s="3">
        <v>45754</v>
      </c>
      <c r="F34" s="3">
        <v>45755</v>
      </c>
      <c r="G34">
        <v>1.4</v>
      </c>
      <c r="H34">
        <v>22</v>
      </c>
      <c r="I34" t="s">
        <v>33</v>
      </c>
      <c r="J34" t="s">
        <v>51</v>
      </c>
      <c r="K34" t="s">
        <v>87</v>
      </c>
      <c r="L34" t="s">
        <v>145</v>
      </c>
      <c r="M34" t="s">
        <v>47</v>
      </c>
      <c r="N34" t="s">
        <v>38</v>
      </c>
      <c r="O34">
        <v>21</v>
      </c>
      <c r="P34">
        <v>30</v>
      </c>
      <c r="Q34">
        <v>0.7</v>
      </c>
      <c r="R34">
        <v>480</v>
      </c>
      <c r="S34" s="1">
        <v>672</v>
      </c>
      <c r="T34" t="s">
        <v>111</v>
      </c>
      <c r="U34" t="s">
        <v>112</v>
      </c>
      <c r="V34" s="1">
        <v>1693.77</v>
      </c>
      <c r="W34" s="2">
        <f>Merged_Clinical_Finance_Data[[#This Row],[Occupied_Beds]]/Merged_Clinical_Finance_Data[[#This Row],[Total_Beds]]</f>
        <v>0.7</v>
      </c>
      <c r="X34">
        <f>IF(Merged_Clinical_Finance_Data[[#This Row],[30Day_Readmission]]="Yes",1,0)</f>
        <v>0</v>
      </c>
      <c r="Y34" t="str" cm="1">
        <f t="array" ref="Y3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34" t="str" cm="1">
        <f t="array" ref="Z34">_xlfn.IFS(Merged_Clinical_Finance_Data[[#This Row],[Length_of_Stay_Days]]&lt;3,"Short (&lt;3)",Merged_Clinical_Finance_Data[[#This Row],[Length_of_Stay_Days]]&lt;=7,"Medium (3-7)",TRUE,"Long (&gt;7)")</f>
        <v>Short (&lt;3)</v>
      </c>
      <c r="AA34" s="3">
        <f>EOMONTH(Merged_Clinical_Finance_Data[[#This Row],[Admission_Date]],-1)+1</f>
        <v>45748</v>
      </c>
      <c r="AB34" s="1">
        <f>Merged_Clinical_Finance_Data[[#This Row],[Daily_Bed_Cost_GBP]]*Merged_Clinical_Finance_Data[[#This Row],[Length_of_Stay_Days]]</f>
        <v>672</v>
      </c>
      <c r="AC34" t="str">
        <f>IF(Merged_Clinical_Finance_Data[[#This Row],[Total_Encounter_Cost_Naira]]&gt;AVERAGE(Merged_Clinical_Finance_Data[[#This Row],[Total_Encounter_Cost_Naira]]),"High","Normal")</f>
        <v>Normal</v>
      </c>
    </row>
    <row r="35" spans="1:29" x14ac:dyDescent="0.25">
      <c r="A35" t="s">
        <v>146</v>
      </c>
      <c r="B35" t="s">
        <v>67</v>
      </c>
      <c r="C35" t="s">
        <v>68</v>
      </c>
      <c r="D35" t="s">
        <v>42</v>
      </c>
      <c r="E35" s="3">
        <v>46001</v>
      </c>
      <c r="F35" s="3">
        <v>46003</v>
      </c>
      <c r="G35">
        <v>2.5</v>
      </c>
      <c r="H35">
        <v>55</v>
      </c>
      <c r="I35" t="s">
        <v>43</v>
      </c>
      <c r="J35" t="s">
        <v>81</v>
      </c>
      <c r="K35" t="s">
        <v>69</v>
      </c>
      <c r="L35" t="s">
        <v>70</v>
      </c>
      <c r="M35" t="s">
        <v>47</v>
      </c>
      <c r="N35" t="s">
        <v>38</v>
      </c>
      <c r="O35">
        <v>24</v>
      </c>
      <c r="P35">
        <v>30</v>
      </c>
      <c r="Q35">
        <v>0.8</v>
      </c>
      <c r="R35">
        <v>400</v>
      </c>
      <c r="S35" s="1">
        <v>1000</v>
      </c>
      <c r="T35" t="s">
        <v>84</v>
      </c>
      <c r="U35" t="s">
        <v>85</v>
      </c>
      <c r="V35" s="1">
        <v>4126.0200000000004</v>
      </c>
      <c r="W35" s="2">
        <f>Merged_Clinical_Finance_Data[[#This Row],[Occupied_Beds]]/Merged_Clinical_Finance_Data[[#This Row],[Total_Beds]]</f>
        <v>0.8</v>
      </c>
      <c r="X35">
        <f>IF(Merged_Clinical_Finance_Data[[#This Row],[30Day_Readmission]]="Yes",1,0)</f>
        <v>0</v>
      </c>
      <c r="Y35" t="str" cm="1">
        <f t="array" ref="Y3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35" t="str" cm="1">
        <f t="array" ref="Z35">_xlfn.IFS(Merged_Clinical_Finance_Data[[#This Row],[Length_of_Stay_Days]]&lt;3,"Short (&lt;3)",Merged_Clinical_Finance_Data[[#This Row],[Length_of_Stay_Days]]&lt;=7,"Medium (3-7)",TRUE,"Long (&gt;7)")</f>
        <v>Short (&lt;3)</v>
      </c>
      <c r="AA35" s="3">
        <f>EOMONTH(Merged_Clinical_Finance_Data[[#This Row],[Admission_Date]],-1)+1</f>
        <v>45992</v>
      </c>
      <c r="AB35" s="1">
        <f>Merged_Clinical_Finance_Data[[#This Row],[Daily_Bed_Cost_GBP]]*Merged_Clinical_Finance_Data[[#This Row],[Length_of_Stay_Days]]</f>
        <v>1000</v>
      </c>
      <c r="AC35" t="str">
        <f>IF(Merged_Clinical_Finance_Data[[#This Row],[Total_Encounter_Cost_Naira]]&gt;AVERAGE(Merged_Clinical_Finance_Data[[#This Row],[Total_Encounter_Cost_Naira]]),"High","Normal")</f>
        <v>Normal</v>
      </c>
    </row>
    <row r="36" spans="1:29" x14ac:dyDescent="0.25">
      <c r="A36" t="s">
        <v>147</v>
      </c>
      <c r="B36" t="s">
        <v>67</v>
      </c>
      <c r="C36" t="s">
        <v>68</v>
      </c>
      <c r="D36" t="s">
        <v>42</v>
      </c>
      <c r="E36" s="3">
        <v>45929</v>
      </c>
      <c r="F36" s="3">
        <v>45931</v>
      </c>
      <c r="G36">
        <v>2.6</v>
      </c>
      <c r="H36">
        <v>21</v>
      </c>
      <c r="I36" t="s">
        <v>43</v>
      </c>
      <c r="J36" t="s">
        <v>51</v>
      </c>
      <c r="K36" t="s">
        <v>76</v>
      </c>
      <c r="L36" t="s">
        <v>70</v>
      </c>
      <c r="M36" t="s">
        <v>54</v>
      </c>
      <c r="N36" t="s">
        <v>38</v>
      </c>
      <c r="O36">
        <v>23</v>
      </c>
      <c r="P36">
        <v>30</v>
      </c>
      <c r="Q36">
        <v>0.76670000000000005</v>
      </c>
      <c r="R36">
        <v>350</v>
      </c>
      <c r="S36" s="1">
        <v>910</v>
      </c>
      <c r="T36" t="s">
        <v>96</v>
      </c>
      <c r="U36" t="s">
        <v>97</v>
      </c>
      <c r="V36" s="1">
        <v>2281.04</v>
      </c>
      <c r="W36" s="2">
        <f>Merged_Clinical_Finance_Data[[#This Row],[Occupied_Beds]]/Merged_Clinical_Finance_Data[[#This Row],[Total_Beds]]</f>
        <v>0.76666666666666672</v>
      </c>
      <c r="X36">
        <f>IF(Merged_Clinical_Finance_Data[[#This Row],[30Day_Readmission]]="Yes",1,0)</f>
        <v>0</v>
      </c>
      <c r="Y36" t="str" cm="1">
        <f t="array" ref="Y3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36" t="str" cm="1">
        <f t="array" ref="Z36">_xlfn.IFS(Merged_Clinical_Finance_Data[[#This Row],[Length_of_Stay_Days]]&lt;3,"Short (&lt;3)",Merged_Clinical_Finance_Data[[#This Row],[Length_of_Stay_Days]]&lt;=7,"Medium (3-7)",TRUE,"Long (&gt;7)")</f>
        <v>Short (&lt;3)</v>
      </c>
      <c r="AA36" s="3">
        <f>EOMONTH(Merged_Clinical_Finance_Data[[#This Row],[Admission_Date]],-1)+1</f>
        <v>45901</v>
      </c>
      <c r="AB36" s="1">
        <f>Merged_Clinical_Finance_Data[[#This Row],[Daily_Bed_Cost_GBP]]*Merged_Clinical_Finance_Data[[#This Row],[Length_of_Stay_Days]]</f>
        <v>910</v>
      </c>
      <c r="AC36" t="str">
        <f>IF(Merged_Clinical_Finance_Data[[#This Row],[Total_Encounter_Cost_Naira]]&gt;AVERAGE(Merged_Clinical_Finance_Data[[#This Row],[Total_Encounter_Cost_Naira]]),"High","Normal")</f>
        <v>Normal</v>
      </c>
    </row>
    <row r="37" spans="1:29" x14ac:dyDescent="0.25">
      <c r="A37" t="s">
        <v>148</v>
      </c>
      <c r="B37" t="s">
        <v>79</v>
      </c>
      <c r="C37" t="s">
        <v>80</v>
      </c>
      <c r="D37" t="s">
        <v>32</v>
      </c>
      <c r="E37" s="3">
        <v>45783</v>
      </c>
      <c r="F37" s="3">
        <v>45786</v>
      </c>
      <c r="G37">
        <v>3.2</v>
      </c>
      <c r="H37">
        <v>20</v>
      </c>
      <c r="I37" t="s">
        <v>33</v>
      </c>
      <c r="J37" t="s">
        <v>51</v>
      </c>
      <c r="K37" t="s">
        <v>82</v>
      </c>
      <c r="L37" t="s">
        <v>145</v>
      </c>
      <c r="M37" t="s">
        <v>47</v>
      </c>
      <c r="N37" t="s">
        <v>38</v>
      </c>
      <c r="O37">
        <v>20</v>
      </c>
      <c r="P37">
        <v>30</v>
      </c>
      <c r="Q37">
        <v>0.66669999999999996</v>
      </c>
      <c r="R37">
        <v>450</v>
      </c>
      <c r="S37" s="1">
        <v>1440</v>
      </c>
      <c r="T37" t="s">
        <v>55</v>
      </c>
      <c r="U37" t="s">
        <v>56</v>
      </c>
      <c r="V37" s="1">
        <v>540.35</v>
      </c>
      <c r="W37" s="2">
        <f>Merged_Clinical_Finance_Data[[#This Row],[Occupied_Beds]]/Merged_Clinical_Finance_Data[[#This Row],[Total_Beds]]</f>
        <v>0.66666666666666663</v>
      </c>
      <c r="X37">
        <f>IF(Merged_Clinical_Finance_Data[[#This Row],[30Day_Readmission]]="Yes",1,0)</f>
        <v>0</v>
      </c>
      <c r="Y37" t="str" cm="1">
        <f t="array" ref="Y3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37" t="str" cm="1">
        <f t="array" ref="Z37">_xlfn.IFS(Merged_Clinical_Finance_Data[[#This Row],[Length_of_Stay_Days]]&lt;3,"Short (&lt;3)",Merged_Clinical_Finance_Data[[#This Row],[Length_of_Stay_Days]]&lt;=7,"Medium (3-7)",TRUE,"Long (&gt;7)")</f>
        <v>Medium (3-7)</v>
      </c>
      <c r="AA37" s="3">
        <f>EOMONTH(Merged_Clinical_Finance_Data[[#This Row],[Admission_Date]],-1)+1</f>
        <v>45778</v>
      </c>
      <c r="AB37" s="1">
        <f>Merged_Clinical_Finance_Data[[#This Row],[Daily_Bed_Cost_GBP]]*Merged_Clinical_Finance_Data[[#This Row],[Length_of_Stay_Days]]</f>
        <v>1440</v>
      </c>
      <c r="AC37" t="str">
        <f>IF(Merged_Clinical_Finance_Data[[#This Row],[Total_Encounter_Cost_Naira]]&gt;AVERAGE(Merged_Clinical_Finance_Data[[#This Row],[Total_Encounter_Cost_Naira]]),"High","Normal")</f>
        <v>Normal</v>
      </c>
    </row>
    <row r="38" spans="1:29" x14ac:dyDescent="0.25">
      <c r="A38" t="s">
        <v>149</v>
      </c>
      <c r="B38" t="s">
        <v>49</v>
      </c>
      <c r="C38" t="s">
        <v>50</v>
      </c>
      <c r="D38" t="s">
        <v>60</v>
      </c>
      <c r="E38" s="3">
        <v>45880</v>
      </c>
      <c r="F38" s="3">
        <v>45883</v>
      </c>
      <c r="G38">
        <v>3.9</v>
      </c>
      <c r="H38">
        <v>65</v>
      </c>
      <c r="I38" t="s">
        <v>33</v>
      </c>
      <c r="J38" t="s">
        <v>44</v>
      </c>
      <c r="K38" t="s">
        <v>52</v>
      </c>
      <c r="L38" t="s">
        <v>150</v>
      </c>
      <c r="M38" t="s">
        <v>47</v>
      </c>
      <c r="N38" t="s">
        <v>38</v>
      </c>
      <c r="O38">
        <v>23</v>
      </c>
      <c r="P38">
        <v>30</v>
      </c>
      <c r="Q38">
        <v>0.76670000000000005</v>
      </c>
      <c r="R38">
        <v>480</v>
      </c>
      <c r="S38" s="1">
        <v>1872</v>
      </c>
      <c r="T38" t="s">
        <v>96</v>
      </c>
      <c r="U38" t="s">
        <v>97</v>
      </c>
      <c r="V38" s="1">
        <v>3178.38</v>
      </c>
      <c r="W38" s="2">
        <f>Merged_Clinical_Finance_Data[[#This Row],[Occupied_Beds]]/Merged_Clinical_Finance_Data[[#This Row],[Total_Beds]]</f>
        <v>0.76666666666666672</v>
      </c>
      <c r="X38">
        <f>IF(Merged_Clinical_Finance_Data[[#This Row],[30Day_Readmission]]="Yes",1,0)</f>
        <v>0</v>
      </c>
      <c r="Y38" t="str" cm="1">
        <f t="array" ref="Y3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38" t="str" cm="1">
        <f t="array" ref="Z38">_xlfn.IFS(Merged_Clinical_Finance_Data[[#This Row],[Length_of_Stay_Days]]&lt;3,"Short (&lt;3)",Merged_Clinical_Finance_Data[[#This Row],[Length_of_Stay_Days]]&lt;=7,"Medium (3-7)",TRUE,"Long (&gt;7)")</f>
        <v>Medium (3-7)</v>
      </c>
      <c r="AA38" s="3">
        <f>EOMONTH(Merged_Clinical_Finance_Data[[#This Row],[Admission_Date]],-1)+1</f>
        <v>45870</v>
      </c>
      <c r="AB38" s="1">
        <f>Merged_Clinical_Finance_Data[[#This Row],[Daily_Bed_Cost_GBP]]*Merged_Clinical_Finance_Data[[#This Row],[Length_of_Stay_Days]]</f>
        <v>1872</v>
      </c>
      <c r="AC38" t="str">
        <f>IF(Merged_Clinical_Finance_Data[[#This Row],[Total_Encounter_Cost_Naira]]&gt;AVERAGE(Merged_Clinical_Finance_Data[[#This Row],[Total_Encounter_Cost_Naira]]),"High","Normal")</f>
        <v>Normal</v>
      </c>
    </row>
    <row r="39" spans="1:29" x14ac:dyDescent="0.25">
      <c r="A39" t="s">
        <v>151</v>
      </c>
      <c r="B39" t="s">
        <v>49</v>
      </c>
      <c r="C39" t="s">
        <v>50</v>
      </c>
      <c r="D39" t="s">
        <v>42</v>
      </c>
      <c r="E39" s="3">
        <v>45929</v>
      </c>
      <c r="F39" s="3">
        <v>45933</v>
      </c>
      <c r="G39">
        <v>4.9000000000000004</v>
      </c>
      <c r="H39">
        <v>46</v>
      </c>
      <c r="I39" t="s">
        <v>43</v>
      </c>
      <c r="J39" t="s">
        <v>34</v>
      </c>
      <c r="K39" t="s">
        <v>143</v>
      </c>
      <c r="L39" t="s">
        <v>150</v>
      </c>
      <c r="M39" t="s">
        <v>47</v>
      </c>
      <c r="N39" t="s">
        <v>38</v>
      </c>
      <c r="O39">
        <v>19</v>
      </c>
      <c r="P39">
        <v>30</v>
      </c>
      <c r="Q39">
        <v>0.63329999999999997</v>
      </c>
      <c r="R39">
        <v>450</v>
      </c>
      <c r="S39" s="1">
        <v>2205</v>
      </c>
      <c r="T39" t="s">
        <v>136</v>
      </c>
      <c r="U39" t="s">
        <v>137</v>
      </c>
      <c r="V39" s="1">
        <v>2659.47</v>
      </c>
      <c r="W39" s="2">
        <f>Merged_Clinical_Finance_Data[[#This Row],[Occupied_Beds]]/Merged_Clinical_Finance_Data[[#This Row],[Total_Beds]]</f>
        <v>0.6333333333333333</v>
      </c>
      <c r="X39">
        <f>IF(Merged_Clinical_Finance_Data[[#This Row],[30Day_Readmission]]="Yes",1,0)</f>
        <v>0</v>
      </c>
      <c r="Y39" t="str" cm="1">
        <f t="array" ref="Y3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39" t="str" cm="1">
        <f t="array" ref="Z39">_xlfn.IFS(Merged_Clinical_Finance_Data[[#This Row],[Length_of_Stay_Days]]&lt;3,"Short (&lt;3)",Merged_Clinical_Finance_Data[[#This Row],[Length_of_Stay_Days]]&lt;=7,"Medium (3-7)",TRUE,"Long (&gt;7)")</f>
        <v>Medium (3-7)</v>
      </c>
      <c r="AA39" s="3">
        <f>EOMONTH(Merged_Clinical_Finance_Data[[#This Row],[Admission_Date]],-1)+1</f>
        <v>45901</v>
      </c>
      <c r="AB39" s="1">
        <f>Merged_Clinical_Finance_Data[[#This Row],[Daily_Bed_Cost_GBP]]*Merged_Clinical_Finance_Data[[#This Row],[Length_of_Stay_Days]]</f>
        <v>2205</v>
      </c>
      <c r="AC39" t="str">
        <f>IF(Merged_Clinical_Finance_Data[[#This Row],[Total_Encounter_Cost_Naira]]&gt;AVERAGE(Merged_Clinical_Finance_Data[[#This Row],[Total_Encounter_Cost_Naira]]),"High","Normal")</f>
        <v>Normal</v>
      </c>
    </row>
    <row r="40" spans="1:29" x14ac:dyDescent="0.25">
      <c r="A40" t="s">
        <v>152</v>
      </c>
      <c r="B40" t="s">
        <v>102</v>
      </c>
      <c r="C40" t="s">
        <v>103</v>
      </c>
      <c r="D40" t="s">
        <v>32</v>
      </c>
      <c r="E40" s="3">
        <v>45998</v>
      </c>
      <c r="F40" s="3">
        <v>45999</v>
      </c>
      <c r="G40">
        <v>1.4</v>
      </c>
      <c r="H40">
        <v>51</v>
      </c>
      <c r="I40" t="s">
        <v>33</v>
      </c>
      <c r="J40" t="s">
        <v>73</v>
      </c>
      <c r="K40" t="s">
        <v>153</v>
      </c>
      <c r="L40" t="s">
        <v>105</v>
      </c>
      <c r="M40" t="s">
        <v>74</v>
      </c>
      <c r="N40" t="s">
        <v>71</v>
      </c>
      <c r="O40">
        <v>21</v>
      </c>
      <c r="P40">
        <v>30</v>
      </c>
      <c r="Q40">
        <v>0.7</v>
      </c>
      <c r="R40">
        <v>350</v>
      </c>
      <c r="S40" s="1">
        <v>490</v>
      </c>
      <c r="T40" t="s">
        <v>111</v>
      </c>
      <c r="U40" t="s">
        <v>112</v>
      </c>
      <c r="V40" s="1">
        <v>770.8</v>
      </c>
      <c r="W40" s="2">
        <f>Merged_Clinical_Finance_Data[[#This Row],[Occupied_Beds]]/Merged_Clinical_Finance_Data[[#This Row],[Total_Beds]]</f>
        <v>0.7</v>
      </c>
      <c r="X40">
        <f>IF(Merged_Clinical_Finance_Data[[#This Row],[30Day_Readmission]]="Yes",1,0)</f>
        <v>1</v>
      </c>
      <c r="Y40" t="str" cm="1">
        <f t="array" ref="Y4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40" t="str" cm="1">
        <f t="array" ref="Z40">_xlfn.IFS(Merged_Clinical_Finance_Data[[#This Row],[Length_of_Stay_Days]]&lt;3,"Short (&lt;3)",Merged_Clinical_Finance_Data[[#This Row],[Length_of_Stay_Days]]&lt;=7,"Medium (3-7)",TRUE,"Long (&gt;7)")</f>
        <v>Short (&lt;3)</v>
      </c>
      <c r="AA40" s="3">
        <f>EOMONTH(Merged_Clinical_Finance_Data[[#This Row],[Admission_Date]],-1)+1</f>
        <v>45992</v>
      </c>
      <c r="AB40" s="1">
        <f>Merged_Clinical_Finance_Data[[#This Row],[Daily_Bed_Cost_GBP]]*Merged_Clinical_Finance_Data[[#This Row],[Length_of_Stay_Days]]</f>
        <v>489.99999999999994</v>
      </c>
      <c r="AC40" t="str">
        <f>IF(Merged_Clinical_Finance_Data[[#This Row],[Total_Encounter_Cost_Naira]]&gt;AVERAGE(Merged_Clinical_Finance_Data[[#This Row],[Total_Encounter_Cost_Naira]]),"High","Normal")</f>
        <v>Normal</v>
      </c>
    </row>
    <row r="41" spans="1:29" x14ac:dyDescent="0.25">
      <c r="A41" t="s">
        <v>154</v>
      </c>
      <c r="B41" t="s">
        <v>58</v>
      </c>
      <c r="C41" t="s">
        <v>59</v>
      </c>
      <c r="D41" t="s">
        <v>32</v>
      </c>
      <c r="E41" s="3">
        <v>45876</v>
      </c>
      <c r="F41" s="3">
        <v>45882</v>
      </c>
      <c r="G41">
        <v>6.8</v>
      </c>
      <c r="H41">
        <v>83</v>
      </c>
      <c r="I41" t="s">
        <v>43</v>
      </c>
      <c r="J41" t="s">
        <v>61</v>
      </c>
      <c r="K41" t="s">
        <v>62</v>
      </c>
      <c r="L41" t="s">
        <v>155</v>
      </c>
      <c r="M41" t="s">
        <v>54</v>
      </c>
      <c r="N41" t="s">
        <v>38</v>
      </c>
      <c r="O41">
        <v>18</v>
      </c>
      <c r="P41">
        <v>30</v>
      </c>
      <c r="Q41">
        <v>0.6</v>
      </c>
      <c r="R41">
        <v>510</v>
      </c>
      <c r="S41" s="1">
        <v>3468</v>
      </c>
      <c r="T41" t="s">
        <v>64</v>
      </c>
      <c r="U41" t="s">
        <v>65</v>
      </c>
      <c r="V41" s="1">
        <v>1477.52</v>
      </c>
      <c r="W41" s="2">
        <f>Merged_Clinical_Finance_Data[[#This Row],[Occupied_Beds]]/Merged_Clinical_Finance_Data[[#This Row],[Total_Beds]]</f>
        <v>0.6</v>
      </c>
      <c r="X41">
        <f>IF(Merged_Clinical_Finance_Data[[#This Row],[30Day_Readmission]]="Yes",1,0)</f>
        <v>0</v>
      </c>
      <c r="Y41" t="str" cm="1">
        <f t="array" ref="Y4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41" t="str" cm="1">
        <f t="array" ref="Z41">_xlfn.IFS(Merged_Clinical_Finance_Data[[#This Row],[Length_of_Stay_Days]]&lt;3,"Short (&lt;3)",Merged_Clinical_Finance_Data[[#This Row],[Length_of_Stay_Days]]&lt;=7,"Medium (3-7)",TRUE,"Long (&gt;7)")</f>
        <v>Medium (3-7)</v>
      </c>
      <c r="AA41" s="3">
        <f>EOMONTH(Merged_Clinical_Finance_Data[[#This Row],[Admission_Date]],-1)+1</f>
        <v>45870</v>
      </c>
      <c r="AB41" s="1">
        <f>Merged_Clinical_Finance_Data[[#This Row],[Daily_Bed_Cost_GBP]]*Merged_Clinical_Finance_Data[[#This Row],[Length_of_Stay_Days]]</f>
        <v>3468</v>
      </c>
      <c r="AC41" t="str">
        <f>IF(Merged_Clinical_Finance_Data[[#This Row],[Total_Encounter_Cost_Naira]]&gt;AVERAGE(Merged_Clinical_Finance_Data[[#This Row],[Total_Encounter_Cost_Naira]]),"High","Normal")</f>
        <v>Normal</v>
      </c>
    </row>
    <row r="42" spans="1:29" x14ac:dyDescent="0.25">
      <c r="A42" t="s">
        <v>156</v>
      </c>
      <c r="B42" t="s">
        <v>49</v>
      </c>
      <c r="C42" t="s">
        <v>50</v>
      </c>
      <c r="D42" t="s">
        <v>42</v>
      </c>
      <c r="E42" s="3">
        <v>45890</v>
      </c>
      <c r="F42" s="3">
        <v>45898</v>
      </c>
      <c r="G42">
        <v>8.9</v>
      </c>
      <c r="H42">
        <v>28</v>
      </c>
      <c r="I42" t="s">
        <v>33</v>
      </c>
      <c r="J42" t="s">
        <v>51</v>
      </c>
      <c r="K42" t="s">
        <v>143</v>
      </c>
      <c r="L42" t="s">
        <v>126</v>
      </c>
      <c r="M42" t="s">
        <v>54</v>
      </c>
      <c r="N42" t="s">
        <v>38</v>
      </c>
      <c r="O42">
        <v>25</v>
      </c>
      <c r="P42">
        <v>30</v>
      </c>
      <c r="Q42">
        <v>0.83330000000000004</v>
      </c>
      <c r="R42">
        <v>375</v>
      </c>
      <c r="S42" s="1">
        <v>3337.5</v>
      </c>
      <c r="T42" t="s">
        <v>55</v>
      </c>
      <c r="U42" t="s">
        <v>56</v>
      </c>
      <c r="V42" s="1">
        <v>1014.62</v>
      </c>
      <c r="W42" s="2">
        <f>Merged_Clinical_Finance_Data[[#This Row],[Occupied_Beds]]/Merged_Clinical_Finance_Data[[#This Row],[Total_Beds]]</f>
        <v>0.83333333333333337</v>
      </c>
      <c r="X42">
        <f>IF(Merged_Clinical_Finance_Data[[#This Row],[30Day_Readmission]]="Yes",1,0)</f>
        <v>0</v>
      </c>
      <c r="Y42" t="str" cm="1">
        <f t="array" ref="Y4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42" t="str" cm="1">
        <f t="array" ref="Z42">_xlfn.IFS(Merged_Clinical_Finance_Data[[#This Row],[Length_of_Stay_Days]]&lt;3,"Short (&lt;3)",Merged_Clinical_Finance_Data[[#This Row],[Length_of_Stay_Days]]&lt;=7,"Medium (3-7)",TRUE,"Long (&gt;7)")</f>
        <v>Long (&gt;7)</v>
      </c>
      <c r="AA42" s="3">
        <f>EOMONTH(Merged_Clinical_Finance_Data[[#This Row],[Admission_Date]],-1)+1</f>
        <v>45870</v>
      </c>
      <c r="AB42" s="1">
        <f>Merged_Clinical_Finance_Data[[#This Row],[Daily_Bed_Cost_GBP]]*Merged_Clinical_Finance_Data[[#This Row],[Length_of_Stay_Days]]</f>
        <v>3337.5</v>
      </c>
      <c r="AC42" t="str">
        <f>IF(Merged_Clinical_Finance_Data[[#This Row],[Total_Encounter_Cost_Naira]]&gt;AVERAGE(Merged_Clinical_Finance_Data[[#This Row],[Total_Encounter_Cost_Naira]]),"High","Normal")</f>
        <v>Normal</v>
      </c>
    </row>
    <row r="43" spans="1:29" x14ac:dyDescent="0.25">
      <c r="A43" t="s">
        <v>157</v>
      </c>
      <c r="B43" t="s">
        <v>107</v>
      </c>
      <c r="C43" t="s">
        <v>108</v>
      </c>
      <c r="D43" t="s">
        <v>60</v>
      </c>
      <c r="E43" s="3">
        <v>45720</v>
      </c>
      <c r="F43" s="3">
        <v>45726</v>
      </c>
      <c r="G43">
        <v>6.8</v>
      </c>
      <c r="H43">
        <v>31</v>
      </c>
      <c r="I43" t="s">
        <v>33</v>
      </c>
      <c r="J43" t="s">
        <v>44</v>
      </c>
      <c r="K43" t="s">
        <v>158</v>
      </c>
      <c r="L43" t="s">
        <v>129</v>
      </c>
      <c r="M43" t="s">
        <v>47</v>
      </c>
      <c r="N43" t="s">
        <v>38</v>
      </c>
      <c r="O43">
        <v>21</v>
      </c>
      <c r="P43">
        <v>30</v>
      </c>
      <c r="Q43">
        <v>0.7</v>
      </c>
      <c r="R43">
        <v>510</v>
      </c>
      <c r="S43" s="1">
        <v>3468</v>
      </c>
      <c r="T43" t="s">
        <v>64</v>
      </c>
      <c r="U43" t="s">
        <v>65</v>
      </c>
      <c r="V43" s="1">
        <v>2998.73</v>
      </c>
      <c r="W43" s="2">
        <f>Merged_Clinical_Finance_Data[[#This Row],[Occupied_Beds]]/Merged_Clinical_Finance_Data[[#This Row],[Total_Beds]]</f>
        <v>0.7</v>
      </c>
      <c r="X43">
        <f>IF(Merged_Clinical_Finance_Data[[#This Row],[30Day_Readmission]]="Yes",1,0)</f>
        <v>0</v>
      </c>
      <c r="Y43" t="str" cm="1">
        <f t="array" ref="Y4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43" t="str" cm="1">
        <f t="array" ref="Z43">_xlfn.IFS(Merged_Clinical_Finance_Data[[#This Row],[Length_of_Stay_Days]]&lt;3,"Short (&lt;3)",Merged_Clinical_Finance_Data[[#This Row],[Length_of_Stay_Days]]&lt;=7,"Medium (3-7)",TRUE,"Long (&gt;7)")</f>
        <v>Medium (3-7)</v>
      </c>
      <c r="AA43" s="3">
        <f>EOMONTH(Merged_Clinical_Finance_Data[[#This Row],[Admission_Date]],-1)+1</f>
        <v>45717</v>
      </c>
      <c r="AB43" s="1">
        <f>Merged_Clinical_Finance_Data[[#This Row],[Daily_Bed_Cost_GBP]]*Merged_Clinical_Finance_Data[[#This Row],[Length_of_Stay_Days]]</f>
        <v>3468</v>
      </c>
      <c r="AC43" t="str">
        <f>IF(Merged_Clinical_Finance_Data[[#This Row],[Total_Encounter_Cost_Naira]]&gt;AVERAGE(Merged_Clinical_Finance_Data[[#This Row],[Total_Encounter_Cost_Naira]]),"High","Normal")</f>
        <v>Normal</v>
      </c>
    </row>
    <row r="44" spans="1:29" x14ac:dyDescent="0.25">
      <c r="A44" t="s">
        <v>159</v>
      </c>
      <c r="B44" t="s">
        <v>67</v>
      </c>
      <c r="C44" t="s">
        <v>68</v>
      </c>
      <c r="D44" t="s">
        <v>32</v>
      </c>
      <c r="E44" s="3">
        <v>45711</v>
      </c>
      <c r="F44" s="3">
        <v>45713</v>
      </c>
      <c r="G44">
        <v>2.9</v>
      </c>
      <c r="H44">
        <v>71</v>
      </c>
      <c r="I44" t="s">
        <v>33</v>
      </c>
      <c r="J44" t="s">
        <v>81</v>
      </c>
      <c r="K44" t="s">
        <v>76</v>
      </c>
      <c r="L44" t="s">
        <v>70</v>
      </c>
      <c r="M44" t="s">
        <v>47</v>
      </c>
      <c r="N44" t="s">
        <v>38</v>
      </c>
      <c r="O44">
        <v>21</v>
      </c>
      <c r="P44">
        <v>30</v>
      </c>
      <c r="Q44">
        <v>0.7</v>
      </c>
      <c r="R44">
        <v>450</v>
      </c>
      <c r="S44" s="1">
        <v>1305</v>
      </c>
      <c r="T44" t="s">
        <v>96</v>
      </c>
      <c r="U44" t="s">
        <v>97</v>
      </c>
      <c r="V44" s="1">
        <v>2436.6799999999998</v>
      </c>
      <c r="W44" s="2">
        <f>Merged_Clinical_Finance_Data[[#This Row],[Occupied_Beds]]/Merged_Clinical_Finance_Data[[#This Row],[Total_Beds]]</f>
        <v>0.7</v>
      </c>
      <c r="X44">
        <f>IF(Merged_Clinical_Finance_Data[[#This Row],[30Day_Readmission]]="Yes",1,0)</f>
        <v>0</v>
      </c>
      <c r="Y44" t="str" cm="1">
        <f t="array" ref="Y4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44" t="str" cm="1">
        <f t="array" ref="Z44">_xlfn.IFS(Merged_Clinical_Finance_Data[[#This Row],[Length_of_Stay_Days]]&lt;3,"Short (&lt;3)",Merged_Clinical_Finance_Data[[#This Row],[Length_of_Stay_Days]]&lt;=7,"Medium (3-7)",TRUE,"Long (&gt;7)")</f>
        <v>Short (&lt;3)</v>
      </c>
      <c r="AA44" s="3">
        <f>EOMONTH(Merged_Clinical_Finance_Data[[#This Row],[Admission_Date]],-1)+1</f>
        <v>45689</v>
      </c>
      <c r="AB44" s="1">
        <f>Merged_Clinical_Finance_Data[[#This Row],[Daily_Bed_Cost_GBP]]*Merged_Clinical_Finance_Data[[#This Row],[Length_of_Stay_Days]]</f>
        <v>1305</v>
      </c>
      <c r="AC44" t="str">
        <f>IF(Merged_Clinical_Finance_Data[[#This Row],[Total_Encounter_Cost_Naira]]&gt;AVERAGE(Merged_Clinical_Finance_Data[[#This Row],[Total_Encounter_Cost_Naira]]),"High","Normal")</f>
        <v>Normal</v>
      </c>
    </row>
    <row r="45" spans="1:29" x14ac:dyDescent="0.25">
      <c r="A45" t="s">
        <v>160</v>
      </c>
      <c r="B45" t="s">
        <v>114</v>
      </c>
      <c r="C45" t="s">
        <v>115</v>
      </c>
      <c r="D45" t="s">
        <v>42</v>
      </c>
      <c r="E45" s="3">
        <v>45798</v>
      </c>
      <c r="F45" s="3">
        <v>45808</v>
      </c>
      <c r="G45">
        <v>10</v>
      </c>
      <c r="H45">
        <v>26</v>
      </c>
      <c r="I45" t="s">
        <v>43</v>
      </c>
      <c r="J45" t="s">
        <v>44</v>
      </c>
      <c r="K45" t="s">
        <v>132</v>
      </c>
      <c r="L45" t="s">
        <v>161</v>
      </c>
      <c r="M45" t="s">
        <v>47</v>
      </c>
      <c r="N45" t="s">
        <v>71</v>
      </c>
      <c r="O45">
        <v>27</v>
      </c>
      <c r="P45">
        <v>30</v>
      </c>
      <c r="Q45">
        <v>0.9</v>
      </c>
      <c r="R45">
        <v>450</v>
      </c>
      <c r="S45" s="1">
        <v>4500</v>
      </c>
      <c r="T45" t="s">
        <v>64</v>
      </c>
      <c r="U45" t="s">
        <v>65</v>
      </c>
      <c r="V45" s="1">
        <v>1612.38</v>
      </c>
      <c r="W45" s="2">
        <f>Merged_Clinical_Finance_Data[[#This Row],[Occupied_Beds]]/Merged_Clinical_Finance_Data[[#This Row],[Total_Beds]]</f>
        <v>0.9</v>
      </c>
      <c r="X45">
        <f>IF(Merged_Clinical_Finance_Data[[#This Row],[30Day_Readmission]]="Yes",1,0)</f>
        <v>1</v>
      </c>
      <c r="Y45" t="str" cm="1">
        <f t="array" ref="Y4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45" t="str" cm="1">
        <f t="array" ref="Z45">_xlfn.IFS(Merged_Clinical_Finance_Data[[#This Row],[Length_of_Stay_Days]]&lt;3,"Short (&lt;3)",Merged_Clinical_Finance_Data[[#This Row],[Length_of_Stay_Days]]&lt;=7,"Medium (3-7)",TRUE,"Long (&gt;7)")</f>
        <v>Long (&gt;7)</v>
      </c>
      <c r="AA45" s="3">
        <f>EOMONTH(Merged_Clinical_Finance_Data[[#This Row],[Admission_Date]],-1)+1</f>
        <v>45778</v>
      </c>
      <c r="AB45" s="1">
        <f>Merged_Clinical_Finance_Data[[#This Row],[Daily_Bed_Cost_GBP]]*Merged_Clinical_Finance_Data[[#This Row],[Length_of_Stay_Days]]</f>
        <v>4500</v>
      </c>
      <c r="AC45" t="str">
        <f>IF(Merged_Clinical_Finance_Data[[#This Row],[Total_Encounter_Cost_Naira]]&gt;AVERAGE(Merged_Clinical_Finance_Data[[#This Row],[Total_Encounter_Cost_Naira]]),"High","Normal")</f>
        <v>Normal</v>
      </c>
    </row>
    <row r="46" spans="1:29" x14ac:dyDescent="0.25">
      <c r="A46" t="s">
        <v>162</v>
      </c>
      <c r="B46" t="s">
        <v>102</v>
      </c>
      <c r="C46" t="s">
        <v>103</v>
      </c>
      <c r="D46" t="s">
        <v>42</v>
      </c>
      <c r="E46" s="3">
        <v>45887</v>
      </c>
      <c r="F46" s="3">
        <v>45888</v>
      </c>
      <c r="G46">
        <v>1</v>
      </c>
      <c r="H46">
        <v>41</v>
      </c>
      <c r="I46" t="s">
        <v>33</v>
      </c>
      <c r="J46" t="s">
        <v>34</v>
      </c>
      <c r="K46" t="s">
        <v>104</v>
      </c>
      <c r="L46" t="s">
        <v>124</v>
      </c>
      <c r="M46" t="s">
        <v>47</v>
      </c>
      <c r="N46" t="s">
        <v>38</v>
      </c>
      <c r="O46">
        <v>16</v>
      </c>
      <c r="P46">
        <v>30</v>
      </c>
      <c r="Q46">
        <v>0.5333</v>
      </c>
      <c r="R46">
        <v>450</v>
      </c>
      <c r="S46" s="1">
        <v>450</v>
      </c>
      <c r="T46" t="s">
        <v>64</v>
      </c>
      <c r="U46" t="s">
        <v>65</v>
      </c>
      <c r="V46" s="1">
        <v>914.13</v>
      </c>
      <c r="W46" s="2">
        <f>Merged_Clinical_Finance_Data[[#This Row],[Occupied_Beds]]/Merged_Clinical_Finance_Data[[#This Row],[Total_Beds]]</f>
        <v>0.53333333333333333</v>
      </c>
      <c r="X46">
        <f>IF(Merged_Clinical_Finance_Data[[#This Row],[30Day_Readmission]]="Yes",1,0)</f>
        <v>0</v>
      </c>
      <c r="Y46" t="str" cm="1">
        <f t="array" ref="Y4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46" t="str" cm="1">
        <f t="array" ref="Z46">_xlfn.IFS(Merged_Clinical_Finance_Data[[#This Row],[Length_of_Stay_Days]]&lt;3,"Short (&lt;3)",Merged_Clinical_Finance_Data[[#This Row],[Length_of_Stay_Days]]&lt;=7,"Medium (3-7)",TRUE,"Long (&gt;7)")</f>
        <v>Short (&lt;3)</v>
      </c>
      <c r="AA46" s="3">
        <f>EOMONTH(Merged_Clinical_Finance_Data[[#This Row],[Admission_Date]],-1)+1</f>
        <v>45870</v>
      </c>
      <c r="AB46" s="1">
        <f>Merged_Clinical_Finance_Data[[#This Row],[Daily_Bed_Cost_GBP]]*Merged_Clinical_Finance_Data[[#This Row],[Length_of_Stay_Days]]</f>
        <v>450</v>
      </c>
      <c r="AC46" t="str">
        <f>IF(Merged_Clinical_Finance_Data[[#This Row],[Total_Encounter_Cost_Naira]]&gt;AVERAGE(Merged_Clinical_Finance_Data[[#This Row],[Total_Encounter_Cost_Naira]]),"High","Normal")</f>
        <v>Normal</v>
      </c>
    </row>
    <row r="47" spans="1:29" x14ac:dyDescent="0.25">
      <c r="A47" t="s">
        <v>163</v>
      </c>
      <c r="B47" t="s">
        <v>102</v>
      </c>
      <c r="C47" t="s">
        <v>103</v>
      </c>
      <c r="D47" t="s">
        <v>42</v>
      </c>
      <c r="E47" s="3">
        <v>45966</v>
      </c>
      <c r="F47" s="3">
        <v>45967</v>
      </c>
      <c r="G47">
        <v>1.5</v>
      </c>
      <c r="H47">
        <v>73</v>
      </c>
      <c r="I47" t="s">
        <v>43</v>
      </c>
      <c r="J47" t="s">
        <v>61</v>
      </c>
      <c r="K47" t="s">
        <v>104</v>
      </c>
      <c r="L47" t="s">
        <v>164</v>
      </c>
      <c r="M47" t="s">
        <v>74</v>
      </c>
      <c r="N47" t="s">
        <v>38</v>
      </c>
      <c r="O47">
        <v>24</v>
      </c>
      <c r="P47">
        <v>30</v>
      </c>
      <c r="Q47">
        <v>0.8</v>
      </c>
      <c r="R47">
        <v>510</v>
      </c>
      <c r="S47" s="1">
        <v>765</v>
      </c>
      <c r="T47" t="s">
        <v>136</v>
      </c>
      <c r="U47" t="s">
        <v>137</v>
      </c>
      <c r="V47" s="1">
        <v>1834.83</v>
      </c>
      <c r="W47" s="2">
        <f>Merged_Clinical_Finance_Data[[#This Row],[Occupied_Beds]]/Merged_Clinical_Finance_Data[[#This Row],[Total_Beds]]</f>
        <v>0.8</v>
      </c>
      <c r="X47">
        <f>IF(Merged_Clinical_Finance_Data[[#This Row],[30Day_Readmission]]="Yes",1,0)</f>
        <v>0</v>
      </c>
      <c r="Y47" t="str" cm="1">
        <f t="array" ref="Y4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47" t="str" cm="1">
        <f t="array" ref="Z47">_xlfn.IFS(Merged_Clinical_Finance_Data[[#This Row],[Length_of_Stay_Days]]&lt;3,"Short (&lt;3)",Merged_Clinical_Finance_Data[[#This Row],[Length_of_Stay_Days]]&lt;=7,"Medium (3-7)",TRUE,"Long (&gt;7)")</f>
        <v>Short (&lt;3)</v>
      </c>
      <c r="AA47" s="3">
        <f>EOMONTH(Merged_Clinical_Finance_Data[[#This Row],[Admission_Date]],-1)+1</f>
        <v>45962</v>
      </c>
      <c r="AB47" s="1">
        <f>Merged_Clinical_Finance_Data[[#This Row],[Daily_Bed_Cost_GBP]]*Merged_Clinical_Finance_Data[[#This Row],[Length_of_Stay_Days]]</f>
        <v>765</v>
      </c>
      <c r="AC47" t="str">
        <f>IF(Merged_Clinical_Finance_Data[[#This Row],[Total_Encounter_Cost_Naira]]&gt;AVERAGE(Merged_Clinical_Finance_Data[[#This Row],[Total_Encounter_Cost_Naira]]),"High","Normal")</f>
        <v>Normal</v>
      </c>
    </row>
    <row r="48" spans="1:29" x14ac:dyDescent="0.25">
      <c r="A48" t="s">
        <v>165</v>
      </c>
      <c r="B48" t="s">
        <v>49</v>
      </c>
      <c r="C48" t="s">
        <v>50</v>
      </c>
      <c r="D48" t="s">
        <v>60</v>
      </c>
      <c r="E48" s="3">
        <v>45874</v>
      </c>
      <c r="F48" s="3">
        <v>45877</v>
      </c>
      <c r="G48">
        <v>3.7</v>
      </c>
      <c r="H48">
        <v>28</v>
      </c>
      <c r="I48" t="s">
        <v>33</v>
      </c>
      <c r="J48" t="s">
        <v>51</v>
      </c>
      <c r="K48" t="s">
        <v>143</v>
      </c>
      <c r="L48" t="s">
        <v>126</v>
      </c>
      <c r="M48" t="s">
        <v>47</v>
      </c>
      <c r="N48" t="s">
        <v>38</v>
      </c>
      <c r="O48">
        <v>15</v>
      </c>
      <c r="P48">
        <v>30</v>
      </c>
      <c r="Q48">
        <v>0.5</v>
      </c>
      <c r="R48">
        <v>375</v>
      </c>
      <c r="S48" s="1">
        <v>1387.5</v>
      </c>
      <c r="T48" t="s">
        <v>84</v>
      </c>
      <c r="U48" t="s">
        <v>85</v>
      </c>
      <c r="V48" s="1">
        <v>2788.86</v>
      </c>
      <c r="W48" s="2">
        <f>Merged_Clinical_Finance_Data[[#This Row],[Occupied_Beds]]/Merged_Clinical_Finance_Data[[#This Row],[Total_Beds]]</f>
        <v>0.5</v>
      </c>
      <c r="X48">
        <f>IF(Merged_Clinical_Finance_Data[[#This Row],[30Day_Readmission]]="Yes",1,0)</f>
        <v>0</v>
      </c>
      <c r="Y48" t="str" cm="1">
        <f t="array" ref="Y4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48" t="str" cm="1">
        <f t="array" ref="Z48">_xlfn.IFS(Merged_Clinical_Finance_Data[[#This Row],[Length_of_Stay_Days]]&lt;3,"Short (&lt;3)",Merged_Clinical_Finance_Data[[#This Row],[Length_of_Stay_Days]]&lt;=7,"Medium (3-7)",TRUE,"Long (&gt;7)")</f>
        <v>Medium (3-7)</v>
      </c>
      <c r="AA48" s="3">
        <f>EOMONTH(Merged_Clinical_Finance_Data[[#This Row],[Admission_Date]],-1)+1</f>
        <v>45870</v>
      </c>
      <c r="AB48" s="1">
        <f>Merged_Clinical_Finance_Data[[#This Row],[Daily_Bed_Cost_GBP]]*Merged_Clinical_Finance_Data[[#This Row],[Length_of_Stay_Days]]</f>
        <v>1387.5</v>
      </c>
      <c r="AC48" t="str">
        <f>IF(Merged_Clinical_Finance_Data[[#This Row],[Total_Encounter_Cost_Naira]]&gt;AVERAGE(Merged_Clinical_Finance_Data[[#This Row],[Total_Encounter_Cost_Naira]]),"High","Normal")</f>
        <v>Normal</v>
      </c>
    </row>
    <row r="49" spans="1:29" x14ac:dyDescent="0.25">
      <c r="A49" t="s">
        <v>166</v>
      </c>
      <c r="B49" t="s">
        <v>67</v>
      </c>
      <c r="C49" t="s">
        <v>68</v>
      </c>
      <c r="D49" t="s">
        <v>42</v>
      </c>
      <c r="E49" s="3">
        <v>46020</v>
      </c>
      <c r="F49" s="3">
        <v>46022</v>
      </c>
      <c r="G49">
        <v>2.9</v>
      </c>
      <c r="H49">
        <v>42</v>
      </c>
      <c r="I49" t="s">
        <v>33</v>
      </c>
      <c r="J49" t="s">
        <v>61</v>
      </c>
      <c r="K49" t="s">
        <v>76</v>
      </c>
      <c r="L49" t="s">
        <v>167</v>
      </c>
      <c r="M49" t="s">
        <v>47</v>
      </c>
      <c r="N49" t="s">
        <v>38</v>
      </c>
      <c r="O49">
        <v>18</v>
      </c>
      <c r="P49">
        <v>30</v>
      </c>
      <c r="Q49">
        <v>0.6</v>
      </c>
      <c r="R49">
        <v>510</v>
      </c>
      <c r="S49" s="1">
        <v>1479</v>
      </c>
      <c r="T49" t="s">
        <v>136</v>
      </c>
      <c r="U49" t="s">
        <v>137</v>
      </c>
      <c r="V49" s="1">
        <v>3403.63</v>
      </c>
      <c r="W49" s="2">
        <f>Merged_Clinical_Finance_Data[[#This Row],[Occupied_Beds]]/Merged_Clinical_Finance_Data[[#This Row],[Total_Beds]]</f>
        <v>0.6</v>
      </c>
      <c r="X49">
        <f>IF(Merged_Clinical_Finance_Data[[#This Row],[30Day_Readmission]]="Yes",1,0)</f>
        <v>0</v>
      </c>
      <c r="Y49" t="str" cm="1">
        <f t="array" ref="Y4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49" t="str" cm="1">
        <f t="array" ref="Z49">_xlfn.IFS(Merged_Clinical_Finance_Data[[#This Row],[Length_of_Stay_Days]]&lt;3,"Short (&lt;3)",Merged_Clinical_Finance_Data[[#This Row],[Length_of_Stay_Days]]&lt;=7,"Medium (3-7)",TRUE,"Long (&gt;7)")</f>
        <v>Short (&lt;3)</v>
      </c>
      <c r="AA49" s="3">
        <f>EOMONTH(Merged_Clinical_Finance_Data[[#This Row],[Admission_Date]],-1)+1</f>
        <v>45992</v>
      </c>
      <c r="AB49" s="1">
        <f>Merged_Clinical_Finance_Data[[#This Row],[Daily_Bed_Cost_GBP]]*Merged_Clinical_Finance_Data[[#This Row],[Length_of_Stay_Days]]</f>
        <v>1479</v>
      </c>
      <c r="AC49" t="str">
        <f>IF(Merged_Clinical_Finance_Data[[#This Row],[Total_Encounter_Cost_Naira]]&gt;AVERAGE(Merged_Clinical_Finance_Data[[#This Row],[Total_Encounter_Cost_Naira]]),"High","Normal")</f>
        <v>Normal</v>
      </c>
    </row>
    <row r="50" spans="1:29" x14ac:dyDescent="0.25">
      <c r="A50" t="s">
        <v>168</v>
      </c>
      <c r="B50" t="s">
        <v>114</v>
      </c>
      <c r="C50" t="s">
        <v>115</v>
      </c>
      <c r="D50" t="s">
        <v>32</v>
      </c>
      <c r="E50" s="3">
        <v>45829</v>
      </c>
      <c r="F50" s="3">
        <v>45836</v>
      </c>
      <c r="G50">
        <v>7.5</v>
      </c>
      <c r="H50">
        <v>50</v>
      </c>
      <c r="I50" t="s">
        <v>33</v>
      </c>
      <c r="J50" t="s">
        <v>61</v>
      </c>
      <c r="K50" t="s">
        <v>132</v>
      </c>
      <c r="L50" t="s">
        <v>161</v>
      </c>
      <c r="M50" t="s">
        <v>47</v>
      </c>
      <c r="N50" t="s">
        <v>38</v>
      </c>
      <c r="O50">
        <v>13</v>
      </c>
      <c r="P50">
        <v>30</v>
      </c>
      <c r="Q50">
        <v>0.43330000000000002</v>
      </c>
      <c r="R50">
        <v>375</v>
      </c>
      <c r="S50" s="1">
        <v>2812.5</v>
      </c>
      <c r="T50" t="s">
        <v>64</v>
      </c>
      <c r="U50" t="s">
        <v>65</v>
      </c>
      <c r="V50" s="1">
        <v>2792.85</v>
      </c>
      <c r="W50" s="2">
        <f>Merged_Clinical_Finance_Data[[#This Row],[Occupied_Beds]]/Merged_Clinical_Finance_Data[[#This Row],[Total_Beds]]</f>
        <v>0.43333333333333335</v>
      </c>
      <c r="X50">
        <f>IF(Merged_Clinical_Finance_Data[[#This Row],[30Day_Readmission]]="Yes",1,0)</f>
        <v>0</v>
      </c>
      <c r="Y50" t="str" cm="1">
        <f t="array" ref="Y5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50" t="str" cm="1">
        <f t="array" ref="Z50">_xlfn.IFS(Merged_Clinical_Finance_Data[[#This Row],[Length_of_Stay_Days]]&lt;3,"Short (&lt;3)",Merged_Clinical_Finance_Data[[#This Row],[Length_of_Stay_Days]]&lt;=7,"Medium (3-7)",TRUE,"Long (&gt;7)")</f>
        <v>Long (&gt;7)</v>
      </c>
      <c r="AA50" s="3">
        <f>EOMONTH(Merged_Clinical_Finance_Data[[#This Row],[Admission_Date]],-1)+1</f>
        <v>45809</v>
      </c>
      <c r="AB50" s="1">
        <f>Merged_Clinical_Finance_Data[[#This Row],[Daily_Bed_Cost_GBP]]*Merged_Clinical_Finance_Data[[#This Row],[Length_of_Stay_Days]]</f>
        <v>2812.5</v>
      </c>
      <c r="AC50" t="str">
        <f>IF(Merged_Clinical_Finance_Data[[#This Row],[Total_Encounter_Cost_Naira]]&gt;AVERAGE(Merged_Clinical_Finance_Data[[#This Row],[Total_Encounter_Cost_Naira]]),"High","Normal")</f>
        <v>Normal</v>
      </c>
    </row>
    <row r="51" spans="1:29" x14ac:dyDescent="0.25">
      <c r="A51" t="s">
        <v>169</v>
      </c>
      <c r="B51" t="s">
        <v>79</v>
      </c>
      <c r="C51" t="s">
        <v>80</v>
      </c>
      <c r="D51" t="s">
        <v>42</v>
      </c>
      <c r="E51" s="3">
        <v>45764</v>
      </c>
      <c r="F51" s="3">
        <v>45768</v>
      </c>
      <c r="G51">
        <v>4.2</v>
      </c>
      <c r="H51">
        <v>72</v>
      </c>
      <c r="I51" t="s">
        <v>33</v>
      </c>
      <c r="J51" t="s">
        <v>51</v>
      </c>
      <c r="K51" t="s">
        <v>87</v>
      </c>
      <c r="L51" t="s">
        <v>145</v>
      </c>
      <c r="M51" t="s">
        <v>74</v>
      </c>
      <c r="N51" t="s">
        <v>38</v>
      </c>
      <c r="O51">
        <v>29</v>
      </c>
      <c r="P51">
        <v>30</v>
      </c>
      <c r="Q51">
        <v>0.9667</v>
      </c>
      <c r="R51">
        <v>450</v>
      </c>
      <c r="S51" s="1">
        <v>1890</v>
      </c>
      <c r="T51" t="s">
        <v>96</v>
      </c>
      <c r="U51" t="s">
        <v>97</v>
      </c>
      <c r="V51" s="1">
        <v>3029.28</v>
      </c>
      <c r="W51" s="2">
        <f>Merged_Clinical_Finance_Data[[#This Row],[Occupied_Beds]]/Merged_Clinical_Finance_Data[[#This Row],[Total_Beds]]</f>
        <v>0.96666666666666667</v>
      </c>
      <c r="X51">
        <f>IF(Merged_Clinical_Finance_Data[[#This Row],[30Day_Readmission]]="Yes",1,0)</f>
        <v>0</v>
      </c>
      <c r="Y51" t="str" cm="1">
        <f t="array" ref="Y5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51" t="str" cm="1">
        <f t="array" ref="Z51">_xlfn.IFS(Merged_Clinical_Finance_Data[[#This Row],[Length_of_Stay_Days]]&lt;3,"Short (&lt;3)",Merged_Clinical_Finance_Data[[#This Row],[Length_of_Stay_Days]]&lt;=7,"Medium (3-7)",TRUE,"Long (&gt;7)")</f>
        <v>Medium (3-7)</v>
      </c>
      <c r="AA51" s="3">
        <f>EOMONTH(Merged_Clinical_Finance_Data[[#This Row],[Admission_Date]],-1)+1</f>
        <v>45748</v>
      </c>
      <c r="AB51" s="1">
        <f>Merged_Clinical_Finance_Data[[#This Row],[Daily_Bed_Cost_GBP]]*Merged_Clinical_Finance_Data[[#This Row],[Length_of_Stay_Days]]</f>
        <v>1890</v>
      </c>
      <c r="AC51" t="str">
        <f>IF(Merged_Clinical_Finance_Data[[#This Row],[Total_Encounter_Cost_Naira]]&gt;AVERAGE(Merged_Clinical_Finance_Data[[#This Row],[Total_Encounter_Cost_Naira]]),"High","Normal")</f>
        <v>Normal</v>
      </c>
    </row>
    <row r="52" spans="1:29" x14ac:dyDescent="0.25">
      <c r="A52" t="s">
        <v>170</v>
      </c>
      <c r="B52" t="s">
        <v>114</v>
      </c>
      <c r="C52" t="s">
        <v>115</v>
      </c>
      <c r="D52" t="s">
        <v>60</v>
      </c>
      <c r="E52" s="3">
        <v>45666</v>
      </c>
      <c r="F52" s="3">
        <v>45674</v>
      </c>
      <c r="G52">
        <v>8.6999999999999993</v>
      </c>
      <c r="H52">
        <v>34</v>
      </c>
      <c r="I52" t="s">
        <v>33</v>
      </c>
      <c r="J52" t="s">
        <v>51</v>
      </c>
      <c r="K52" t="s">
        <v>116</v>
      </c>
      <c r="L52" t="s">
        <v>117</v>
      </c>
      <c r="M52" t="s">
        <v>74</v>
      </c>
      <c r="N52" t="s">
        <v>38</v>
      </c>
      <c r="O52">
        <v>21</v>
      </c>
      <c r="P52">
        <v>30</v>
      </c>
      <c r="Q52">
        <v>0.7</v>
      </c>
      <c r="R52">
        <v>450</v>
      </c>
      <c r="S52" s="1">
        <v>3915</v>
      </c>
      <c r="T52" t="s">
        <v>39</v>
      </c>
      <c r="U52" t="s">
        <v>40</v>
      </c>
      <c r="V52" s="1">
        <v>3116.99</v>
      </c>
      <c r="W52" s="2">
        <f>Merged_Clinical_Finance_Data[[#This Row],[Occupied_Beds]]/Merged_Clinical_Finance_Data[[#This Row],[Total_Beds]]</f>
        <v>0.7</v>
      </c>
      <c r="X52">
        <f>IF(Merged_Clinical_Finance_Data[[#This Row],[30Day_Readmission]]="Yes",1,0)</f>
        <v>0</v>
      </c>
      <c r="Y52" t="str" cm="1">
        <f t="array" ref="Y5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52" t="str" cm="1">
        <f t="array" ref="Z52">_xlfn.IFS(Merged_Clinical_Finance_Data[[#This Row],[Length_of_Stay_Days]]&lt;3,"Short (&lt;3)",Merged_Clinical_Finance_Data[[#This Row],[Length_of_Stay_Days]]&lt;=7,"Medium (3-7)",TRUE,"Long (&gt;7)")</f>
        <v>Long (&gt;7)</v>
      </c>
      <c r="AA52" s="3">
        <f>EOMONTH(Merged_Clinical_Finance_Data[[#This Row],[Admission_Date]],-1)+1</f>
        <v>45658</v>
      </c>
      <c r="AB52" s="1">
        <f>Merged_Clinical_Finance_Data[[#This Row],[Daily_Bed_Cost_GBP]]*Merged_Clinical_Finance_Data[[#This Row],[Length_of_Stay_Days]]</f>
        <v>3914.9999999999995</v>
      </c>
      <c r="AC52" t="str">
        <f>IF(Merged_Clinical_Finance_Data[[#This Row],[Total_Encounter_Cost_Naira]]&gt;AVERAGE(Merged_Clinical_Finance_Data[[#This Row],[Total_Encounter_Cost_Naira]]),"High","Normal")</f>
        <v>Normal</v>
      </c>
    </row>
    <row r="53" spans="1:29" x14ac:dyDescent="0.25">
      <c r="A53" t="s">
        <v>171</v>
      </c>
      <c r="B53" t="s">
        <v>79</v>
      </c>
      <c r="C53" t="s">
        <v>80</v>
      </c>
      <c r="D53" t="s">
        <v>42</v>
      </c>
      <c r="E53" s="3">
        <v>45941</v>
      </c>
      <c r="F53" s="3">
        <v>45943</v>
      </c>
      <c r="G53">
        <v>2.2999999999999998</v>
      </c>
      <c r="H53">
        <v>30</v>
      </c>
      <c r="I53" t="s">
        <v>43</v>
      </c>
      <c r="J53" t="s">
        <v>51</v>
      </c>
      <c r="K53" t="s">
        <v>87</v>
      </c>
      <c r="L53" t="s">
        <v>99</v>
      </c>
      <c r="M53" t="s">
        <v>47</v>
      </c>
      <c r="N53" t="s">
        <v>38</v>
      </c>
      <c r="O53">
        <v>17</v>
      </c>
      <c r="P53">
        <v>30</v>
      </c>
      <c r="Q53">
        <v>0.56669999999999998</v>
      </c>
      <c r="R53">
        <v>480</v>
      </c>
      <c r="S53" s="1">
        <v>1104</v>
      </c>
      <c r="T53" t="s">
        <v>84</v>
      </c>
      <c r="U53" t="s">
        <v>85</v>
      </c>
      <c r="V53" s="1">
        <v>6886.42</v>
      </c>
      <c r="W53" s="2">
        <f>Merged_Clinical_Finance_Data[[#This Row],[Occupied_Beds]]/Merged_Clinical_Finance_Data[[#This Row],[Total_Beds]]</f>
        <v>0.56666666666666665</v>
      </c>
      <c r="X53">
        <f>IF(Merged_Clinical_Finance_Data[[#This Row],[30Day_Readmission]]="Yes",1,0)</f>
        <v>0</v>
      </c>
      <c r="Y53" t="str" cm="1">
        <f t="array" ref="Y5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53" t="str" cm="1">
        <f t="array" ref="Z53">_xlfn.IFS(Merged_Clinical_Finance_Data[[#This Row],[Length_of_Stay_Days]]&lt;3,"Short (&lt;3)",Merged_Clinical_Finance_Data[[#This Row],[Length_of_Stay_Days]]&lt;=7,"Medium (3-7)",TRUE,"Long (&gt;7)")</f>
        <v>Short (&lt;3)</v>
      </c>
      <c r="AA53" s="3">
        <f>EOMONTH(Merged_Clinical_Finance_Data[[#This Row],[Admission_Date]],-1)+1</f>
        <v>45931</v>
      </c>
      <c r="AB53" s="1">
        <f>Merged_Clinical_Finance_Data[[#This Row],[Daily_Bed_Cost_GBP]]*Merged_Clinical_Finance_Data[[#This Row],[Length_of_Stay_Days]]</f>
        <v>1104</v>
      </c>
      <c r="AC53" t="str">
        <f>IF(Merged_Clinical_Finance_Data[[#This Row],[Total_Encounter_Cost_Naira]]&gt;AVERAGE(Merged_Clinical_Finance_Data[[#This Row],[Total_Encounter_Cost_Naira]]),"High","Normal")</f>
        <v>Normal</v>
      </c>
    </row>
    <row r="54" spans="1:29" x14ac:dyDescent="0.25">
      <c r="A54" t="s">
        <v>172</v>
      </c>
      <c r="B54" t="s">
        <v>107</v>
      </c>
      <c r="C54" t="s">
        <v>108</v>
      </c>
      <c r="D54" t="s">
        <v>42</v>
      </c>
      <c r="E54" s="3">
        <v>45979</v>
      </c>
      <c r="F54" s="3">
        <v>45981</v>
      </c>
      <c r="G54">
        <v>2.6</v>
      </c>
      <c r="H54">
        <v>87</v>
      </c>
      <c r="I54" t="s">
        <v>33</v>
      </c>
      <c r="J54" t="s">
        <v>34</v>
      </c>
      <c r="K54" t="s">
        <v>158</v>
      </c>
      <c r="L54" t="s">
        <v>121</v>
      </c>
      <c r="M54" t="s">
        <v>47</v>
      </c>
      <c r="N54" t="s">
        <v>38</v>
      </c>
      <c r="O54">
        <v>23</v>
      </c>
      <c r="P54">
        <v>30</v>
      </c>
      <c r="Q54">
        <v>0.76670000000000005</v>
      </c>
      <c r="R54">
        <v>375</v>
      </c>
      <c r="S54" s="1">
        <v>975</v>
      </c>
      <c r="T54" t="s">
        <v>39</v>
      </c>
      <c r="U54" t="s">
        <v>40</v>
      </c>
      <c r="V54" s="1">
        <v>1806.94</v>
      </c>
      <c r="W54" s="2">
        <f>Merged_Clinical_Finance_Data[[#This Row],[Occupied_Beds]]/Merged_Clinical_Finance_Data[[#This Row],[Total_Beds]]</f>
        <v>0.76666666666666672</v>
      </c>
      <c r="X54">
        <f>IF(Merged_Clinical_Finance_Data[[#This Row],[30Day_Readmission]]="Yes",1,0)</f>
        <v>0</v>
      </c>
      <c r="Y54" t="str" cm="1">
        <f t="array" ref="Y5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54" t="str" cm="1">
        <f t="array" ref="Z54">_xlfn.IFS(Merged_Clinical_Finance_Data[[#This Row],[Length_of_Stay_Days]]&lt;3,"Short (&lt;3)",Merged_Clinical_Finance_Data[[#This Row],[Length_of_Stay_Days]]&lt;=7,"Medium (3-7)",TRUE,"Long (&gt;7)")</f>
        <v>Short (&lt;3)</v>
      </c>
      <c r="AA54" s="3">
        <f>EOMONTH(Merged_Clinical_Finance_Data[[#This Row],[Admission_Date]],-1)+1</f>
        <v>45962</v>
      </c>
      <c r="AB54" s="1">
        <f>Merged_Clinical_Finance_Data[[#This Row],[Daily_Bed_Cost_GBP]]*Merged_Clinical_Finance_Data[[#This Row],[Length_of_Stay_Days]]</f>
        <v>975</v>
      </c>
      <c r="AC54" t="str">
        <f>IF(Merged_Clinical_Finance_Data[[#This Row],[Total_Encounter_Cost_Naira]]&gt;AVERAGE(Merged_Clinical_Finance_Data[[#This Row],[Total_Encounter_Cost_Naira]]),"High","Normal")</f>
        <v>Normal</v>
      </c>
    </row>
    <row r="55" spans="1:29" x14ac:dyDescent="0.25">
      <c r="A55" t="s">
        <v>173</v>
      </c>
      <c r="B55" t="s">
        <v>67</v>
      </c>
      <c r="C55" t="s">
        <v>68</v>
      </c>
      <c r="D55" t="s">
        <v>60</v>
      </c>
      <c r="E55" s="3">
        <v>45792</v>
      </c>
      <c r="F55" s="3">
        <v>45797</v>
      </c>
      <c r="G55">
        <v>5.0999999999999996</v>
      </c>
      <c r="H55">
        <v>65</v>
      </c>
      <c r="I55" t="s">
        <v>33</v>
      </c>
      <c r="J55" t="s">
        <v>34</v>
      </c>
      <c r="K55" t="s">
        <v>76</v>
      </c>
      <c r="L55" t="s">
        <v>70</v>
      </c>
      <c r="M55" t="s">
        <v>37</v>
      </c>
      <c r="N55" t="s">
        <v>38</v>
      </c>
      <c r="O55">
        <v>21</v>
      </c>
      <c r="P55">
        <v>30</v>
      </c>
      <c r="Q55">
        <v>0.7</v>
      </c>
      <c r="R55">
        <v>480</v>
      </c>
      <c r="S55" s="1">
        <v>2448</v>
      </c>
      <c r="T55" t="s">
        <v>84</v>
      </c>
      <c r="U55" t="s">
        <v>85</v>
      </c>
      <c r="V55" s="1">
        <v>7517.68</v>
      </c>
      <c r="W55" s="2">
        <f>Merged_Clinical_Finance_Data[[#This Row],[Occupied_Beds]]/Merged_Clinical_Finance_Data[[#This Row],[Total_Beds]]</f>
        <v>0.7</v>
      </c>
      <c r="X55">
        <f>IF(Merged_Clinical_Finance_Data[[#This Row],[30Day_Readmission]]="Yes",1,0)</f>
        <v>0</v>
      </c>
      <c r="Y55" t="str" cm="1">
        <f t="array" ref="Y5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55" t="str" cm="1">
        <f t="array" ref="Z55">_xlfn.IFS(Merged_Clinical_Finance_Data[[#This Row],[Length_of_Stay_Days]]&lt;3,"Short (&lt;3)",Merged_Clinical_Finance_Data[[#This Row],[Length_of_Stay_Days]]&lt;=7,"Medium (3-7)",TRUE,"Long (&gt;7)")</f>
        <v>Medium (3-7)</v>
      </c>
      <c r="AA55" s="3">
        <f>EOMONTH(Merged_Clinical_Finance_Data[[#This Row],[Admission_Date]],-1)+1</f>
        <v>45778</v>
      </c>
      <c r="AB55" s="1">
        <f>Merged_Clinical_Finance_Data[[#This Row],[Daily_Bed_Cost_GBP]]*Merged_Clinical_Finance_Data[[#This Row],[Length_of_Stay_Days]]</f>
        <v>2448</v>
      </c>
      <c r="AC55" t="str">
        <f>IF(Merged_Clinical_Finance_Data[[#This Row],[Total_Encounter_Cost_Naira]]&gt;AVERAGE(Merged_Clinical_Finance_Data[[#This Row],[Total_Encounter_Cost_Naira]]),"High","Normal")</f>
        <v>Normal</v>
      </c>
    </row>
    <row r="56" spans="1:29" x14ac:dyDescent="0.25">
      <c r="A56" t="s">
        <v>174</v>
      </c>
      <c r="B56" t="s">
        <v>114</v>
      </c>
      <c r="C56" t="s">
        <v>115</v>
      </c>
      <c r="D56" t="s">
        <v>32</v>
      </c>
      <c r="E56" s="3">
        <v>45724</v>
      </c>
      <c r="F56" s="3">
        <v>45727</v>
      </c>
      <c r="G56">
        <v>3.5</v>
      </c>
      <c r="H56">
        <v>34</v>
      </c>
      <c r="I56" t="s">
        <v>43</v>
      </c>
      <c r="J56" t="s">
        <v>81</v>
      </c>
      <c r="K56" t="s">
        <v>116</v>
      </c>
      <c r="L56" t="s">
        <v>117</v>
      </c>
      <c r="M56" t="s">
        <v>47</v>
      </c>
      <c r="N56" t="s">
        <v>38</v>
      </c>
      <c r="O56">
        <v>25</v>
      </c>
      <c r="P56">
        <v>30</v>
      </c>
      <c r="Q56">
        <v>0.83330000000000004</v>
      </c>
      <c r="R56">
        <v>375</v>
      </c>
      <c r="S56" s="1">
        <v>1312.5</v>
      </c>
      <c r="T56" t="s">
        <v>64</v>
      </c>
      <c r="U56" t="s">
        <v>65</v>
      </c>
      <c r="V56" s="1">
        <v>2546.2600000000002</v>
      </c>
      <c r="W56" s="2">
        <f>Merged_Clinical_Finance_Data[[#This Row],[Occupied_Beds]]/Merged_Clinical_Finance_Data[[#This Row],[Total_Beds]]</f>
        <v>0.83333333333333337</v>
      </c>
      <c r="X56">
        <f>IF(Merged_Clinical_Finance_Data[[#This Row],[30Day_Readmission]]="Yes",1,0)</f>
        <v>0</v>
      </c>
      <c r="Y56" t="str" cm="1">
        <f t="array" ref="Y5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56" t="str" cm="1">
        <f t="array" ref="Z56">_xlfn.IFS(Merged_Clinical_Finance_Data[[#This Row],[Length_of_Stay_Days]]&lt;3,"Short (&lt;3)",Merged_Clinical_Finance_Data[[#This Row],[Length_of_Stay_Days]]&lt;=7,"Medium (3-7)",TRUE,"Long (&gt;7)")</f>
        <v>Medium (3-7)</v>
      </c>
      <c r="AA56" s="3">
        <f>EOMONTH(Merged_Clinical_Finance_Data[[#This Row],[Admission_Date]],-1)+1</f>
        <v>45717</v>
      </c>
      <c r="AB56" s="1">
        <f>Merged_Clinical_Finance_Data[[#This Row],[Daily_Bed_Cost_GBP]]*Merged_Clinical_Finance_Data[[#This Row],[Length_of_Stay_Days]]</f>
        <v>1312.5</v>
      </c>
      <c r="AC56" t="str">
        <f>IF(Merged_Clinical_Finance_Data[[#This Row],[Total_Encounter_Cost_Naira]]&gt;AVERAGE(Merged_Clinical_Finance_Data[[#This Row],[Total_Encounter_Cost_Naira]]),"High","Normal")</f>
        <v>Normal</v>
      </c>
    </row>
    <row r="57" spans="1:29" x14ac:dyDescent="0.25">
      <c r="A57" t="s">
        <v>175</v>
      </c>
      <c r="B57" t="s">
        <v>67</v>
      </c>
      <c r="C57" t="s">
        <v>68</v>
      </c>
      <c r="D57" t="s">
        <v>42</v>
      </c>
      <c r="E57" s="3">
        <v>45813</v>
      </c>
      <c r="F57" s="3">
        <v>45816</v>
      </c>
      <c r="G57">
        <v>3.6</v>
      </c>
      <c r="H57">
        <v>62</v>
      </c>
      <c r="I57" t="s">
        <v>33</v>
      </c>
      <c r="J57" t="s">
        <v>44</v>
      </c>
      <c r="K57" t="s">
        <v>76</v>
      </c>
      <c r="L57" t="s">
        <v>176</v>
      </c>
      <c r="M57" t="s">
        <v>74</v>
      </c>
      <c r="N57" t="s">
        <v>38</v>
      </c>
      <c r="O57">
        <v>27</v>
      </c>
      <c r="P57">
        <v>30</v>
      </c>
      <c r="Q57">
        <v>0.9</v>
      </c>
      <c r="R57">
        <v>350</v>
      </c>
      <c r="S57" s="1">
        <v>1260</v>
      </c>
      <c r="T57" t="s">
        <v>89</v>
      </c>
      <c r="U57" t="s">
        <v>90</v>
      </c>
      <c r="V57" s="1">
        <v>5577.51</v>
      </c>
      <c r="W57" s="2">
        <f>Merged_Clinical_Finance_Data[[#This Row],[Occupied_Beds]]/Merged_Clinical_Finance_Data[[#This Row],[Total_Beds]]</f>
        <v>0.9</v>
      </c>
      <c r="X57">
        <f>IF(Merged_Clinical_Finance_Data[[#This Row],[30Day_Readmission]]="Yes",1,0)</f>
        <v>0</v>
      </c>
      <c r="Y57" t="str" cm="1">
        <f t="array" ref="Y5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57" t="str" cm="1">
        <f t="array" ref="Z57">_xlfn.IFS(Merged_Clinical_Finance_Data[[#This Row],[Length_of_Stay_Days]]&lt;3,"Short (&lt;3)",Merged_Clinical_Finance_Data[[#This Row],[Length_of_Stay_Days]]&lt;=7,"Medium (3-7)",TRUE,"Long (&gt;7)")</f>
        <v>Medium (3-7)</v>
      </c>
      <c r="AA57" s="3">
        <f>EOMONTH(Merged_Clinical_Finance_Data[[#This Row],[Admission_Date]],-1)+1</f>
        <v>45809</v>
      </c>
      <c r="AB57" s="1">
        <f>Merged_Clinical_Finance_Data[[#This Row],[Daily_Bed_Cost_GBP]]*Merged_Clinical_Finance_Data[[#This Row],[Length_of_Stay_Days]]</f>
        <v>1260</v>
      </c>
      <c r="AC57" t="str">
        <f>IF(Merged_Clinical_Finance_Data[[#This Row],[Total_Encounter_Cost_Naira]]&gt;AVERAGE(Merged_Clinical_Finance_Data[[#This Row],[Total_Encounter_Cost_Naira]]),"High","Normal")</f>
        <v>Normal</v>
      </c>
    </row>
    <row r="58" spans="1:29" x14ac:dyDescent="0.25">
      <c r="A58" t="s">
        <v>177</v>
      </c>
      <c r="B58" t="s">
        <v>114</v>
      </c>
      <c r="C58" t="s">
        <v>115</v>
      </c>
      <c r="D58" t="s">
        <v>42</v>
      </c>
      <c r="E58" s="3">
        <v>45917</v>
      </c>
      <c r="F58" s="3">
        <v>45929</v>
      </c>
      <c r="G58">
        <v>12.9</v>
      </c>
      <c r="H58">
        <v>26</v>
      </c>
      <c r="I58" t="s">
        <v>43</v>
      </c>
      <c r="J58" t="s">
        <v>61</v>
      </c>
      <c r="K58" t="s">
        <v>116</v>
      </c>
      <c r="L58" t="s">
        <v>117</v>
      </c>
      <c r="M58" t="s">
        <v>74</v>
      </c>
      <c r="N58" t="s">
        <v>38</v>
      </c>
      <c r="O58">
        <v>13</v>
      </c>
      <c r="P58">
        <v>30</v>
      </c>
      <c r="Q58">
        <v>0.43330000000000002</v>
      </c>
      <c r="R58">
        <v>450</v>
      </c>
      <c r="S58" s="1">
        <v>5805</v>
      </c>
      <c r="T58" t="s">
        <v>136</v>
      </c>
      <c r="U58" t="s">
        <v>137</v>
      </c>
      <c r="V58" s="1">
        <v>1917.77</v>
      </c>
      <c r="W58" s="2">
        <f>Merged_Clinical_Finance_Data[[#This Row],[Occupied_Beds]]/Merged_Clinical_Finance_Data[[#This Row],[Total_Beds]]</f>
        <v>0.43333333333333335</v>
      </c>
      <c r="X58">
        <f>IF(Merged_Clinical_Finance_Data[[#This Row],[30Day_Readmission]]="Yes",1,0)</f>
        <v>0</v>
      </c>
      <c r="Y58" t="str" cm="1">
        <f t="array" ref="Y5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58" t="str" cm="1">
        <f t="array" ref="Z58">_xlfn.IFS(Merged_Clinical_Finance_Data[[#This Row],[Length_of_Stay_Days]]&lt;3,"Short (&lt;3)",Merged_Clinical_Finance_Data[[#This Row],[Length_of_Stay_Days]]&lt;=7,"Medium (3-7)",TRUE,"Long (&gt;7)")</f>
        <v>Long (&gt;7)</v>
      </c>
      <c r="AA58" s="3">
        <f>EOMONTH(Merged_Clinical_Finance_Data[[#This Row],[Admission_Date]],-1)+1</f>
        <v>45901</v>
      </c>
      <c r="AB58" s="1">
        <f>Merged_Clinical_Finance_Data[[#This Row],[Daily_Bed_Cost_GBP]]*Merged_Clinical_Finance_Data[[#This Row],[Length_of_Stay_Days]]</f>
        <v>5805</v>
      </c>
      <c r="AC58" t="str">
        <f>IF(Merged_Clinical_Finance_Data[[#This Row],[Total_Encounter_Cost_Naira]]&gt;AVERAGE(Merged_Clinical_Finance_Data[[#This Row],[Total_Encounter_Cost_Naira]]),"High","Normal")</f>
        <v>Normal</v>
      </c>
    </row>
    <row r="59" spans="1:29" x14ac:dyDescent="0.25">
      <c r="A59" t="s">
        <v>178</v>
      </c>
      <c r="B59" t="s">
        <v>49</v>
      </c>
      <c r="C59" t="s">
        <v>50</v>
      </c>
      <c r="D59" t="s">
        <v>60</v>
      </c>
      <c r="E59" s="3">
        <v>45768</v>
      </c>
      <c r="F59" s="3">
        <v>45776</v>
      </c>
      <c r="G59">
        <v>8.8000000000000007</v>
      </c>
      <c r="H59">
        <v>75</v>
      </c>
      <c r="I59" t="s">
        <v>43</v>
      </c>
      <c r="J59" t="s">
        <v>81</v>
      </c>
      <c r="K59" t="s">
        <v>52</v>
      </c>
      <c r="L59" t="s">
        <v>179</v>
      </c>
      <c r="M59" t="s">
        <v>74</v>
      </c>
      <c r="N59" t="s">
        <v>38</v>
      </c>
      <c r="O59">
        <v>12</v>
      </c>
      <c r="P59">
        <v>30</v>
      </c>
      <c r="Q59">
        <v>0.4</v>
      </c>
      <c r="R59">
        <v>480</v>
      </c>
      <c r="S59" s="1">
        <v>4224</v>
      </c>
      <c r="T59" t="s">
        <v>39</v>
      </c>
      <c r="U59" t="s">
        <v>40</v>
      </c>
      <c r="V59" s="1">
        <v>1756.85</v>
      </c>
      <c r="W59" s="2">
        <f>Merged_Clinical_Finance_Data[[#This Row],[Occupied_Beds]]/Merged_Clinical_Finance_Data[[#This Row],[Total_Beds]]</f>
        <v>0.4</v>
      </c>
      <c r="X59">
        <f>IF(Merged_Clinical_Finance_Data[[#This Row],[30Day_Readmission]]="Yes",1,0)</f>
        <v>0</v>
      </c>
      <c r="Y59" t="str" cm="1">
        <f t="array" ref="Y5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59" t="str" cm="1">
        <f t="array" ref="Z59">_xlfn.IFS(Merged_Clinical_Finance_Data[[#This Row],[Length_of_Stay_Days]]&lt;3,"Short (&lt;3)",Merged_Clinical_Finance_Data[[#This Row],[Length_of_Stay_Days]]&lt;=7,"Medium (3-7)",TRUE,"Long (&gt;7)")</f>
        <v>Long (&gt;7)</v>
      </c>
      <c r="AA59" s="3">
        <f>EOMONTH(Merged_Clinical_Finance_Data[[#This Row],[Admission_Date]],-1)+1</f>
        <v>45748</v>
      </c>
      <c r="AB59" s="1">
        <f>Merged_Clinical_Finance_Data[[#This Row],[Daily_Bed_Cost_GBP]]*Merged_Clinical_Finance_Data[[#This Row],[Length_of_Stay_Days]]</f>
        <v>4224</v>
      </c>
      <c r="AC59" t="str">
        <f>IF(Merged_Clinical_Finance_Data[[#This Row],[Total_Encounter_Cost_Naira]]&gt;AVERAGE(Merged_Clinical_Finance_Data[[#This Row],[Total_Encounter_Cost_Naira]]),"High","Normal")</f>
        <v>Normal</v>
      </c>
    </row>
    <row r="60" spans="1:29" x14ac:dyDescent="0.25">
      <c r="A60" t="s">
        <v>180</v>
      </c>
      <c r="B60" t="s">
        <v>102</v>
      </c>
      <c r="C60" t="s">
        <v>103</v>
      </c>
      <c r="D60" t="s">
        <v>60</v>
      </c>
      <c r="E60" s="3">
        <v>45968</v>
      </c>
      <c r="F60" s="3">
        <v>45968</v>
      </c>
      <c r="G60">
        <v>0.9</v>
      </c>
      <c r="H60">
        <v>73</v>
      </c>
      <c r="I60" t="s">
        <v>43</v>
      </c>
      <c r="J60" t="s">
        <v>51</v>
      </c>
      <c r="K60" t="s">
        <v>153</v>
      </c>
      <c r="L60" t="s">
        <v>164</v>
      </c>
      <c r="M60" t="s">
        <v>37</v>
      </c>
      <c r="N60" t="s">
        <v>38</v>
      </c>
      <c r="O60">
        <v>13</v>
      </c>
      <c r="P60">
        <v>30</v>
      </c>
      <c r="Q60">
        <v>0.43330000000000002</v>
      </c>
      <c r="R60">
        <v>350</v>
      </c>
      <c r="S60" s="1">
        <v>315</v>
      </c>
      <c r="T60" t="s">
        <v>111</v>
      </c>
      <c r="U60" t="s">
        <v>112</v>
      </c>
      <c r="V60" s="1">
        <v>1223.0999999999999</v>
      </c>
      <c r="W60" s="2">
        <f>Merged_Clinical_Finance_Data[[#This Row],[Occupied_Beds]]/Merged_Clinical_Finance_Data[[#This Row],[Total_Beds]]</f>
        <v>0.43333333333333335</v>
      </c>
      <c r="X60">
        <f>IF(Merged_Clinical_Finance_Data[[#This Row],[30Day_Readmission]]="Yes",1,0)</f>
        <v>0</v>
      </c>
      <c r="Y60" t="str" cm="1">
        <f t="array" ref="Y6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60" t="str" cm="1">
        <f t="array" ref="Z60">_xlfn.IFS(Merged_Clinical_Finance_Data[[#This Row],[Length_of_Stay_Days]]&lt;3,"Short (&lt;3)",Merged_Clinical_Finance_Data[[#This Row],[Length_of_Stay_Days]]&lt;=7,"Medium (3-7)",TRUE,"Long (&gt;7)")</f>
        <v>Short (&lt;3)</v>
      </c>
      <c r="AA60" s="3">
        <f>EOMONTH(Merged_Clinical_Finance_Data[[#This Row],[Admission_Date]],-1)+1</f>
        <v>45962</v>
      </c>
      <c r="AB60" s="1">
        <f>Merged_Clinical_Finance_Data[[#This Row],[Daily_Bed_Cost_GBP]]*Merged_Clinical_Finance_Data[[#This Row],[Length_of_Stay_Days]]</f>
        <v>315</v>
      </c>
      <c r="AC60" t="str">
        <f>IF(Merged_Clinical_Finance_Data[[#This Row],[Total_Encounter_Cost_Naira]]&gt;AVERAGE(Merged_Clinical_Finance_Data[[#This Row],[Total_Encounter_Cost_Naira]]),"High","Normal")</f>
        <v>Normal</v>
      </c>
    </row>
    <row r="61" spans="1:29" x14ac:dyDescent="0.25">
      <c r="A61" t="s">
        <v>181</v>
      </c>
      <c r="B61" t="s">
        <v>114</v>
      </c>
      <c r="C61" t="s">
        <v>115</v>
      </c>
      <c r="D61" t="s">
        <v>60</v>
      </c>
      <c r="E61" s="3">
        <v>45978</v>
      </c>
      <c r="F61" s="3">
        <v>45980</v>
      </c>
      <c r="G61">
        <v>2.4</v>
      </c>
      <c r="H61">
        <v>68</v>
      </c>
      <c r="I61" t="s">
        <v>43</v>
      </c>
      <c r="J61" t="s">
        <v>73</v>
      </c>
      <c r="K61" t="s">
        <v>132</v>
      </c>
      <c r="L61" t="s">
        <v>161</v>
      </c>
      <c r="M61" t="s">
        <v>47</v>
      </c>
      <c r="N61" t="s">
        <v>38</v>
      </c>
      <c r="O61">
        <v>23</v>
      </c>
      <c r="P61">
        <v>30</v>
      </c>
      <c r="Q61">
        <v>0.76670000000000005</v>
      </c>
      <c r="R61">
        <v>450</v>
      </c>
      <c r="S61" s="1">
        <v>1080</v>
      </c>
      <c r="T61" t="s">
        <v>64</v>
      </c>
      <c r="U61" t="s">
        <v>65</v>
      </c>
      <c r="V61" s="1">
        <v>2724.74</v>
      </c>
      <c r="W61" s="2">
        <f>Merged_Clinical_Finance_Data[[#This Row],[Occupied_Beds]]/Merged_Clinical_Finance_Data[[#This Row],[Total_Beds]]</f>
        <v>0.76666666666666672</v>
      </c>
      <c r="X61">
        <f>IF(Merged_Clinical_Finance_Data[[#This Row],[30Day_Readmission]]="Yes",1,0)</f>
        <v>0</v>
      </c>
      <c r="Y61" t="str" cm="1">
        <f t="array" ref="Y6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61" t="str" cm="1">
        <f t="array" ref="Z61">_xlfn.IFS(Merged_Clinical_Finance_Data[[#This Row],[Length_of_Stay_Days]]&lt;3,"Short (&lt;3)",Merged_Clinical_Finance_Data[[#This Row],[Length_of_Stay_Days]]&lt;=7,"Medium (3-7)",TRUE,"Long (&gt;7)")</f>
        <v>Short (&lt;3)</v>
      </c>
      <c r="AA61" s="3">
        <f>EOMONTH(Merged_Clinical_Finance_Data[[#This Row],[Admission_Date]],-1)+1</f>
        <v>45962</v>
      </c>
      <c r="AB61" s="1">
        <f>Merged_Clinical_Finance_Data[[#This Row],[Daily_Bed_Cost_GBP]]*Merged_Clinical_Finance_Data[[#This Row],[Length_of_Stay_Days]]</f>
        <v>1080</v>
      </c>
      <c r="AC61" t="str">
        <f>IF(Merged_Clinical_Finance_Data[[#This Row],[Total_Encounter_Cost_Naira]]&gt;AVERAGE(Merged_Clinical_Finance_Data[[#This Row],[Total_Encounter_Cost_Naira]]),"High","Normal")</f>
        <v>Normal</v>
      </c>
    </row>
    <row r="62" spans="1:29" x14ac:dyDescent="0.25">
      <c r="A62" t="s">
        <v>182</v>
      </c>
      <c r="B62" t="s">
        <v>67</v>
      </c>
      <c r="C62" t="s">
        <v>68</v>
      </c>
      <c r="D62" t="s">
        <v>60</v>
      </c>
      <c r="E62" s="3">
        <v>45826</v>
      </c>
      <c r="F62" s="3">
        <v>45830</v>
      </c>
      <c r="G62">
        <v>4.5</v>
      </c>
      <c r="H62">
        <v>43</v>
      </c>
      <c r="I62" t="s">
        <v>33</v>
      </c>
      <c r="J62" t="s">
        <v>81</v>
      </c>
      <c r="K62" t="s">
        <v>69</v>
      </c>
      <c r="L62" t="s">
        <v>77</v>
      </c>
      <c r="M62" t="s">
        <v>37</v>
      </c>
      <c r="N62" t="s">
        <v>38</v>
      </c>
      <c r="O62">
        <v>27</v>
      </c>
      <c r="P62">
        <v>30</v>
      </c>
      <c r="Q62">
        <v>0.9</v>
      </c>
      <c r="R62">
        <v>400</v>
      </c>
      <c r="S62" s="1">
        <v>1800</v>
      </c>
      <c r="T62" t="s">
        <v>39</v>
      </c>
      <c r="U62" t="s">
        <v>40</v>
      </c>
      <c r="V62" s="1">
        <v>1680.38</v>
      </c>
      <c r="W62" s="2">
        <f>Merged_Clinical_Finance_Data[[#This Row],[Occupied_Beds]]/Merged_Clinical_Finance_Data[[#This Row],[Total_Beds]]</f>
        <v>0.9</v>
      </c>
      <c r="X62">
        <f>IF(Merged_Clinical_Finance_Data[[#This Row],[30Day_Readmission]]="Yes",1,0)</f>
        <v>0</v>
      </c>
      <c r="Y62" t="str" cm="1">
        <f t="array" ref="Y6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62" t="str" cm="1">
        <f t="array" ref="Z62">_xlfn.IFS(Merged_Clinical_Finance_Data[[#This Row],[Length_of_Stay_Days]]&lt;3,"Short (&lt;3)",Merged_Clinical_Finance_Data[[#This Row],[Length_of_Stay_Days]]&lt;=7,"Medium (3-7)",TRUE,"Long (&gt;7)")</f>
        <v>Medium (3-7)</v>
      </c>
      <c r="AA62" s="3">
        <f>EOMONTH(Merged_Clinical_Finance_Data[[#This Row],[Admission_Date]],-1)+1</f>
        <v>45809</v>
      </c>
      <c r="AB62" s="1">
        <f>Merged_Clinical_Finance_Data[[#This Row],[Daily_Bed_Cost_GBP]]*Merged_Clinical_Finance_Data[[#This Row],[Length_of_Stay_Days]]</f>
        <v>1800</v>
      </c>
      <c r="AC62" t="str">
        <f>IF(Merged_Clinical_Finance_Data[[#This Row],[Total_Encounter_Cost_Naira]]&gt;AVERAGE(Merged_Clinical_Finance_Data[[#This Row],[Total_Encounter_Cost_Naira]]),"High","Normal")</f>
        <v>Normal</v>
      </c>
    </row>
    <row r="63" spans="1:29" x14ac:dyDescent="0.25">
      <c r="A63" t="s">
        <v>183</v>
      </c>
      <c r="B63" t="s">
        <v>49</v>
      </c>
      <c r="C63" t="s">
        <v>50</v>
      </c>
      <c r="D63" t="s">
        <v>32</v>
      </c>
      <c r="E63" s="3">
        <v>46020</v>
      </c>
      <c r="F63" s="3">
        <v>46026</v>
      </c>
      <c r="G63">
        <v>6.3</v>
      </c>
      <c r="H63">
        <v>56</v>
      </c>
      <c r="I63" t="s">
        <v>33</v>
      </c>
      <c r="J63" t="s">
        <v>51</v>
      </c>
      <c r="K63" t="s">
        <v>143</v>
      </c>
      <c r="L63" t="s">
        <v>53</v>
      </c>
      <c r="M63" t="s">
        <v>74</v>
      </c>
      <c r="N63" t="s">
        <v>38</v>
      </c>
      <c r="O63">
        <v>19</v>
      </c>
      <c r="P63">
        <v>30</v>
      </c>
      <c r="Q63">
        <v>0.63329999999999997</v>
      </c>
      <c r="R63">
        <v>400</v>
      </c>
      <c r="S63" s="1">
        <v>2520</v>
      </c>
      <c r="T63" t="s">
        <v>55</v>
      </c>
      <c r="U63" t="s">
        <v>56</v>
      </c>
      <c r="V63" s="1">
        <v>603.98</v>
      </c>
      <c r="W63" s="2">
        <f>Merged_Clinical_Finance_Data[[#This Row],[Occupied_Beds]]/Merged_Clinical_Finance_Data[[#This Row],[Total_Beds]]</f>
        <v>0.6333333333333333</v>
      </c>
      <c r="X63">
        <f>IF(Merged_Clinical_Finance_Data[[#This Row],[30Day_Readmission]]="Yes",1,0)</f>
        <v>0</v>
      </c>
      <c r="Y63" t="str" cm="1">
        <f t="array" ref="Y6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63" t="str" cm="1">
        <f t="array" ref="Z63">_xlfn.IFS(Merged_Clinical_Finance_Data[[#This Row],[Length_of_Stay_Days]]&lt;3,"Short (&lt;3)",Merged_Clinical_Finance_Data[[#This Row],[Length_of_Stay_Days]]&lt;=7,"Medium (3-7)",TRUE,"Long (&gt;7)")</f>
        <v>Medium (3-7)</v>
      </c>
      <c r="AA63" s="3">
        <f>EOMONTH(Merged_Clinical_Finance_Data[[#This Row],[Admission_Date]],-1)+1</f>
        <v>45992</v>
      </c>
      <c r="AB63" s="1">
        <f>Merged_Clinical_Finance_Data[[#This Row],[Daily_Bed_Cost_GBP]]*Merged_Clinical_Finance_Data[[#This Row],[Length_of_Stay_Days]]</f>
        <v>2520</v>
      </c>
      <c r="AC63" t="str">
        <f>IF(Merged_Clinical_Finance_Data[[#This Row],[Total_Encounter_Cost_Naira]]&gt;AVERAGE(Merged_Clinical_Finance_Data[[#This Row],[Total_Encounter_Cost_Naira]]),"High","Normal")</f>
        <v>Normal</v>
      </c>
    </row>
    <row r="64" spans="1:29" x14ac:dyDescent="0.25">
      <c r="A64" t="s">
        <v>184</v>
      </c>
      <c r="B64" t="s">
        <v>67</v>
      </c>
      <c r="C64" t="s">
        <v>68</v>
      </c>
      <c r="D64" t="s">
        <v>60</v>
      </c>
      <c r="E64" s="3">
        <v>45739</v>
      </c>
      <c r="F64" s="3">
        <v>45743</v>
      </c>
      <c r="G64">
        <v>4.2</v>
      </c>
      <c r="H64">
        <v>50</v>
      </c>
      <c r="I64" t="s">
        <v>43</v>
      </c>
      <c r="J64" t="s">
        <v>44</v>
      </c>
      <c r="K64" t="s">
        <v>69</v>
      </c>
      <c r="L64" t="s">
        <v>176</v>
      </c>
      <c r="M64" t="s">
        <v>47</v>
      </c>
      <c r="N64" t="s">
        <v>38</v>
      </c>
      <c r="O64">
        <v>23</v>
      </c>
      <c r="P64">
        <v>30</v>
      </c>
      <c r="Q64">
        <v>0.76670000000000005</v>
      </c>
      <c r="R64">
        <v>400</v>
      </c>
      <c r="S64" s="1">
        <v>1680</v>
      </c>
      <c r="T64" t="s">
        <v>136</v>
      </c>
      <c r="U64" t="s">
        <v>137</v>
      </c>
      <c r="V64" s="1">
        <v>1234.79</v>
      </c>
      <c r="W64" s="2">
        <f>Merged_Clinical_Finance_Data[[#This Row],[Occupied_Beds]]/Merged_Clinical_Finance_Data[[#This Row],[Total_Beds]]</f>
        <v>0.76666666666666672</v>
      </c>
      <c r="X64">
        <f>IF(Merged_Clinical_Finance_Data[[#This Row],[30Day_Readmission]]="Yes",1,0)</f>
        <v>0</v>
      </c>
      <c r="Y64" t="str" cm="1">
        <f t="array" ref="Y6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64" t="str" cm="1">
        <f t="array" ref="Z64">_xlfn.IFS(Merged_Clinical_Finance_Data[[#This Row],[Length_of_Stay_Days]]&lt;3,"Short (&lt;3)",Merged_Clinical_Finance_Data[[#This Row],[Length_of_Stay_Days]]&lt;=7,"Medium (3-7)",TRUE,"Long (&gt;7)")</f>
        <v>Medium (3-7)</v>
      </c>
      <c r="AA64" s="3">
        <f>EOMONTH(Merged_Clinical_Finance_Data[[#This Row],[Admission_Date]],-1)+1</f>
        <v>45717</v>
      </c>
      <c r="AB64" s="1">
        <f>Merged_Clinical_Finance_Data[[#This Row],[Daily_Bed_Cost_GBP]]*Merged_Clinical_Finance_Data[[#This Row],[Length_of_Stay_Days]]</f>
        <v>1680</v>
      </c>
      <c r="AC64" t="str">
        <f>IF(Merged_Clinical_Finance_Data[[#This Row],[Total_Encounter_Cost_Naira]]&gt;AVERAGE(Merged_Clinical_Finance_Data[[#This Row],[Total_Encounter_Cost_Naira]]),"High","Normal")</f>
        <v>Normal</v>
      </c>
    </row>
    <row r="65" spans="1:29" x14ac:dyDescent="0.25">
      <c r="A65" t="s">
        <v>185</v>
      </c>
      <c r="B65" t="s">
        <v>67</v>
      </c>
      <c r="C65" t="s">
        <v>68</v>
      </c>
      <c r="D65" t="s">
        <v>60</v>
      </c>
      <c r="E65" s="3">
        <v>45737</v>
      </c>
      <c r="F65" s="3">
        <v>45741</v>
      </c>
      <c r="G65">
        <v>4.3</v>
      </c>
      <c r="H65">
        <v>79</v>
      </c>
      <c r="I65" t="s">
        <v>43</v>
      </c>
      <c r="J65" t="s">
        <v>81</v>
      </c>
      <c r="K65" t="s">
        <v>76</v>
      </c>
      <c r="L65" t="s">
        <v>167</v>
      </c>
      <c r="M65" t="s">
        <v>37</v>
      </c>
      <c r="N65" t="s">
        <v>38</v>
      </c>
      <c r="O65">
        <v>13</v>
      </c>
      <c r="P65">
        <v>30</v>
      </c>
      <c r="Q65">
        <v>0.43330000000000002</v>
      </c>
      <c r="R65">
        <v>375</v>
      </c>
      <c r="S65" s="1">
        <v>1612.5</v>
      </c>
      <c r="T65" t="s">
        <v>55</v>
      </c>
      <c r="U65" t="s">
        <v>56</v>
      </c>
      <c r="V65" s="1">
        <v>395.99</v>
      </c>
      <c r="W65" s="2">
        <f>Merged_Clinical_Finance_Data[[#This Row],[Occupied_Beds]]/Merged_Clinical_Finance_Data[[#This Row],[Total_Beds]]</f>
        <v>0.43333333333333335</v>
      </c>
      <c r="X65">
        <f>IF(Merged_Clinical_Finance_Data[[#This Row],[30Day_Readmission]]="Yes",1,0)</f>
        <v>0</v>
      </c>
      <c r="Y65" t="str" cm="1">
        <f t="array" ref="Y6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65" t="str" cm="1">
        <f t="array" ref="Z65">_xlfn.IFS(Merged_Clinical_Finance_Data[[#This Row],[Length_of_Stay_Days]]&lt;3,"Short (&lt;3)",Merged_Clinical_Finance_Data[[#This Row],[Length_of_Stay_Days]]&lt;=7,"Medium (3-7)",TRUE,"Long (&gt;7)")</f>
        <v>Medium (3-7)</v>
      </c>
      <c r="AA65" s="3">
        <f>EOMONTH(Merged_Clinical_Finance_Data[[#This Row],[Admission_Date]],-1)+1</f>
        <v>45717</v>
      </c>
      <c r="AB65" s="1">
        <f>Merged_Clinical_Finance_Data[[#This Row],[Daily_Bed_Cost_GBP]]*Merged_Clinical_Finance_Data[[#This Row],[Length_of_Stay_Days]]</f>
        <v>1612.5</v>
      </c>
      <c r="AC65" t="str">
        <f>IF(Merged_Clinical_Finance_Data[[#This Row],[Total_Encounter_Cost_Naira]]&gt;AVERAGE(Merged_Clinical_Finance_Data[[#This Row],[Total_Encounter_Cost_Naira]]),"High","Normal")</f>
        <v>Normal</v>
      </c>
    </row>
    <row r="66" spans="1:29" x14ac:dyDescent="0.25">
      <c r="A66" t="s">
        <v>186</v>
      </c>
      <c r="B66" t="s">
        <v>30</v>
      </c>
      <c r="C66" t="s">
        <v>31</v>
      </c>
      <c r="D66" t="s">
        <v>42</v>
      </c>
      <c r="E66" s="3">
        <v>45897</v>
      </c>
      <c r="F66" s="3">
        <v>45900</v>
      </c>
      <c r="G66">
        <v>3.5</v>
      </c>
      <c r="H66">
        <v>68</v>
      </c>
      <c r="I66" t="s">
        <v>43</v>
      </c>
      <c r="J66" t="s">
        <v>73</v>
      </c>
      <c r="K66" t="s">
        <v>35</v>
      </c>
      <c r="L66" t="s">
        <v>46</v>
      </c>
      <c r="M66" t="s">
        <v>47</v>
      </c>
      <c r="N66" t="s">
        <v>71</v>
      </c>
      <c r="O66">
        <v>14</v>
      </c>
      <c r="P66">
        <v>30</v>
      </c>
      <c r="Q66">
        <v>0.4667</v>
      </c>
      <c r="R66">
        <v>375</v>
      </c>
      <c r="S66" s="1">
        <v>1312.5</v>
      </c>
      <c r="T66" t="s">
        <v>96</v>
      </c>
      <c r="U66" t="s">
        <v>97</v>
      </c>
      <c r="V66" s="1">
        <v>2919.38</v>
      </c>
      <c r="W66" s="2">
        <f>Merged_Clinical_Finance_Data[[#This Row],[Occupied_Beds]]/Merged_Clinical_Finance_Data[[#This Row],[Total_Beds]]</f>
        <v>0.46666666666666667</v>
      </c>
      <c r="X66">
        <f>IF(Merged_Clinical_Finance_Data[[#This Row],[30Day_Readmission]]="Yes",1,0)</f>
        <v>1</v>
      </c>
      <c r="Y66" t="str" cm="1">
        <f t="array" ref="Y6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66" t="str" cm="1">
        <f t="array" ref="Z66">_xlfn.IFS(Merged_Clinical_Finance_Data[[#This Row],[Length_of_Stay_Days]]&lt;3,"Short (&lt;3)",Merged_Clinical_Finance_Data[[#This Row],[Length_of_Stay_Days]]&lt;=7,"Medium (3-7)",TRUE,"Long (&gt;7)")</f>
        <v>Medium (3-7)</v>
      </c>
      <c r="AA66" s="3">
        <f>EOMONTH(Merged_Clinical_Finance_Data[[#This Row],[Admission_Date]],-1)+1</f>
        <v>45870</v>
      </c>
      <c r="AB66" s="1">
        <f>Merged_Clinical_Finance_Data[[#This Row],[Daily_Bed_Cost_GBP]]*Merged_Clinical_Finance_Data[[#This Row],[Length_of_Stay_Days]]</f>
        <v>1312.5</v>
      </c>
      <c r="AC66" t="str">
        <f>IF(Merged_Clinical_Finance_Data[[#This Row],[Total_Encounter_Cost_Naira]]&gt;AVERAGE(Merged_Clinical_Finance_Data[[#This Row],[Total_Encounter_Cost_Naira]]),"High","Normal")</f>
        <v>Normal</v>
      </c>
    </row>
    <row r="67" spans="1:29" x14ac:dyDescent="0.25">
      <c r="A67" t="s">
        <v>187</v>
      </c>
      <c r="B67" t="s">
        <v>49</v>
      </c>
      <c r="C67" t="s">
        <v>50</v>
      </c>
      <c r="D67" t="s">
        <v>42</v>
      </c>
      <c r="E67" s="3">
        <v>45979</v>
      </c>
      <c r="F67" s="3">
        <v>45988</v>
      </c>
      <c r="G67">
        <v>9.1</v>
      </c>
      <c r="H67">
        <v>67</v>
      </c>
      <c r="I67" t="s">
        <v>43</v>
      </c>
      <c r="J67" t="s">
        <v>51</v>
      </c>
      <c r="K67" t="s">
        <v>52</v>
      </c>
      <c r="L67" t="s">
        <v>126</v>
      </c>
      <c r="M67" t="s">
        <v>47</v>
      </c>
      <c r="N67" t="s">
        <v>38</v>
      </c>
      <c r="O67">
        <v>17</v>
      </c>
      <c r="P67">
        <v>30</v>
      </c>
      <c r="Q67">
        <v>0.56669999999999998</v>
      </c>
      <c r="R67">
        <v>350</v>
      </c>
      <c r="S67" s="1">
        <v>3185</v>
      </c>
      <c r="T67" t="s">
        <v>89</v>
      </c>
      <c r="U67" t="s">
        <v>90</v>
      </c>
      <c r="V67" s="1">
        <v>3452.89</v>
      </c>
      <c r="W67" s="2">
        <f>Merged_Clinical_Finance_Data[[#This Row],[Occupied_Beds]]/Merged_Clinical_Finance_Data[[#This Row],[Total_Beds]]</f>
        <v>0.56666666666666665</v>
      </c>
      <c r="X67">
        <f>IF(Merged_Clinical_Finance_Data[[#This Row],[30Day_Readmission]]="Yes",1,0)</f>
        <v>0</v>
      </c>
      <c r="Y67" t="str" cm="1">
        <f t="array" ref="Y6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67" t="str" cm="1">
        <f t="array" ref="Z67">_xlfn.IFS(Merged_Clinical_Finance_Data[[#This Row],[Length_of_Stay_Days]]&lt;3,"Short (&lt;3)",Merged_Clinical_Finance_Data[[#This Row],[Length_of_Stay_Days]]&lt;=7,"Medium (3-7)",TRUE,"Long (&gt;7)")</f>
        <v>Long (&gt;7)</v>
      </c>
      <c r="AA67" s="3">
        <f>EOMONTH(Merged_Clinical_Finance_Data[[#This Row],[Admission_Date]],-1)+1</f>
        <v>45962</v>
      </c>
      <c r="AB67" s="1">
        <f>Merged_Clinical_Finance_Data[[#This Row],[Daily_Bed_Cost_GBP]]*Merged_Clinical_Finance_Data[[#This Row],[Length_of_Stay_Days]]</f>
        <v>3185</v>
      </c>
      <c r="AC67" t="str">
        <f>IF(Merged_Clinical_Finance_Data[[#This Row],[Total_Encounter_Cost_Naira]]&gt;AVERAGE(Merged_Clinical_Finance_Data[[#This Row],[Total_Encounter_Cost_Naira]]),"High","Normal")</f>
        <v>Normal</v>
      </c>
    </row>
    <row r="68" spans="1:29" x14ac:dyDescent="0.25">
      <c r="A68" t="s">
        <v>188</v>
      </c>
      <c r="B68" t="s">
        <v>107</v>
      </c>
      <c r="C68" t="s">
        <v>108</v>
      </c>
      <c r="D68" t="s">
        <v>60</v>
      </c>
      <c r="E68" s="3">
        <v>45702</v>
      </c>
      <c r="F68" s="3">
        <v>45707</v>
      </c>
      <c r="G68">
        <v>5.8</v>
      </c>
      <c r="H68">
        <v>51</v>
      </c>
      <c r="I68" t="s">
        <v>33</v>
      </c>
      <c r="J68" t="s">
        <v>34</v>
      </c>
      <c r="K68" t="s">
        <v>109</v>
      </c>
      <c r="L68" t="s">
        <v>129</v>
      </c>
      <c r="M68" t="s">
        <v>74</v>
      </c>
      <c r="N68" t="s">
        <v>38</v>
      </c>
      <c r="O68">
        <v>25</v>
      </c>
      <c r="P68">
        <v>30</v>
      </c>
      <c r="Q68">
        <v>0.83330000000000004</v>
      </c>
      <c r="R68">
        <v>450</v>
      </c>
      <c r="S68" s="1">
        <v>2610</v>
      </c>
      <c r="T68" t="s">
        <v>39</v>
      </c>
      <c r="U68" t="s">
        <v>40</v>
      </c>
      <c r="V68" s="1">
        <v>3478.63</v>
      </c>
      <c r="W68" s="2">
        <f>Merged_Clinical_Finance_Data[[#This Row],[Occupied_Beds]]/Merged_Clinical_Finance_Data[[#This Row],[Total_Beds]]</f>
        <v>0.83333333333333337</v>
      </c>
      <c r="X68">
        <f>IF(Merged_Clinical_Finance_Data[[#This Row],[30Day_Readmission]]="Yes",1,0)</f>
        <v>0</v>
      </c>
      <c r="Y68" t="str" cm="1">
        <f t="array" ref="Y6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68" t="str" cm="1">
        <f t="array" ref="Z68">_xlfn.IFS(Merged_Clinical_Finance_Data[[#This Row],[Length_of_Stay_Days]]&lt;3,"Short (&lt;3)",Merged_Clinical_Finance_Data[[#This Row],[Length_of_Stay_Days]]&lt;=7,"Medium (3-7)",TRUE,"Long (&gt;7)")</f>
        <v>Medium (3-7)</v>
      </c>
      <c r="AA68" s="3">
        <f>EOMONTH(Merged_Clinical_Finance_Data[[#This Row],[Admission_Date]],-1)+1</f>
        <v>45689</v>
      </c>
      <c r="AB68" s="1">
        <f>Merged_Clinical_Finance_Data[[#This Row],[Daily_Bed_Cost_GBP]]*Merged_Clinical_Finance_Data[[#This Row],[Length_of_Stay_Days]]</f>
        <v>2610</v>
      </c>
      <c r="AC68" t="str">
        <f>IF(Merged_Clinical_Finance_Data[[#This Row],[Total_Encounter_Cost_Naira]]&gt;AVERAGE(Merged_Clinical_Finance_Data[[#This Row],[Total_Encounter_Cost_Naira]]),"High","Normal")</f>
        <v>Normal</v>
      </c>
    </row>
    <row r="69" spans="1:29" x14ac:dyDescent="0.25">
      <c r="A69" t="s">
        <v>189</v>
      </c>
      <c r="B69" t="s">
        <v>30</v>
      </c>
      <c r="C69" t="s">
        <v>31</v>
      </c>
      <c r="D69" t="s">
        <v>42</v>
      </c>
      <c r="E69" s="3">
        <v>45799</v>
      </c>
      <c r="F69" s="3">
        <v>45806</v>
      </c>
      <c r="G69">
        <v>7.2</v>
      </c>
      <c r="H69">
        <v>36</v>
      </c>
      <c r="I69" t="s">
        <v>33</v>
      </c>
      <c r="J69" t="s">
        <v>61</v>
      </c>
      <c r="K69" t="s">
        <v>35</v>
      </c>
      <c r="L69" t="s">
        <v>92</v>
      </c>
      <c r="M69" t="s">
        <v>54</v>
      </c>
      <c r="N69" t="s">
        <v>38</v>
      </c>
      <c r="O69">
        <v>26</v>
      </c>
      <c r="P69">
        <v>30</v>
      </c>
      <c r="Q69">
        <v>0.86670000000000003</v>
      </c>
      <c r="R69">
        <v>425</v>
      </c>
      <c r="S69" s="1">
        <v>3060</v>
      </c>
      <c r="T69" t="s">
        <v>64</v>
      </c>
      <c r="U69" t="s">
        <v>65</v>
      </c>
      <c r="V69" s="1">
        <v>2279.4</v>
      </c>
      <c r="W69" s="2">
        <f>Merged_Clinical_Finance_Data[[#This Row],[Occupied_Beds]]/Merged_Clinical_Finance_Data[[#This Row],[Total_Beds]]</f>
        <v>0.8666666666666667</v>
      </c>
      <c r="X69">
        <f>IF(Merged_Clinical_Finance_Data[[#This Row],[30Day_Readmission]]="Yes",1,0)</f>
        <v>0</v>
      </c>
      <c r="Y69" t="str" cm="1">
        <f t="array" ref="Y6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69" t="str" cm="1">
        <f t="array" ref="Z69">_xlfn.IFS(Merged_Clinical_Finance_Data[[#This Row],[Length_of_Stay_Days]]&lt;3,"Short (&lt;3)",Merged_Clinical_Finance_Data[[#This Row],[Length_of_Stay_Days]]&lt;=7,"Medium (3-7)",TRUE,"Long (&gt;7)")</f>
        <v>Long (&gt;7)</v>
      </c>
      <c r="AA69" s="3">
        <f>EOMONTH(Merged_Clinical_Finance_Data[[#This Row],[Admission_Date]],-1)+1</f>
        <v>45778</v>
      </c>
      <c r="AB69" s="1">
        <f>Merged_Clinical_Finance_Data[[#This Row],[Daily_Bed_Cost_GBP]]*Merged_Clinical_Finance_Data[[#This Row],[Length_of_Stay_Days]]</f>
        <v>3060</v>
      </c>
      <c r="AC69" t="str">
        <f>IF(Merged_Clinical_Finance_Data[[#This Row],[Total_Encounter_Cost_Naira]]&gt;AVERAGE(Merged_Clinical_Finance_Data[[#This Row],[Total_Encounter_Cost_Naira]]),"High","Normal")</f>
        <v>Normal</v>
      </c>
    </row>
    <row r="70" spans="1:29" x14ac:dyDescent="0.25">
      <c r="A70" t="s">
        <v>190</v>
      </c>
      <c r="B70" t="s">
        <v>67</v>
      </c>
      <c r="C70" t="s">
        <v>68</v>
      </c>
      <c r="D70" t="s">
        <v>32</v>
      </c>
      <c r="E70" s="3">
        <v>46009</v>
      </c>
      <c r="F70" s="3">
        <v>46013</v>
      </c>
      <c r="G70">
        <v>4.0999999999999996</v>
      </c>
      <c r="H70">
        <v>56</v>
      </c>
      <c r="I70" t="s">
        <v>33</v>
      </c>
      <c r="J70" t="s">
        <v>61</v>
      </c>
      <c r="K70" t="s">
        <v>69</v>
      </c>
      <c r="L70" t="s">
        <v>70</v>
      </c>
      <c r="M70" t="s">
        <v>54</v>
      </c>
      <c r="N70" t="s">
        <v>38</v>
      </c>
      <c r="O70">
        <v>26</v>
      </c>
      <c r="P70">
        <v>30</v>
      </c>
      <c r="Q70">
        <v>0.86670000000000003</v>
      </c>
      <c r="R70">
        <v>350</v>
      </c>
      <c r="S70" s="1">
        <v>1435</v>
      </c>
      <c r="T70" t="s">
        <v>111</v>
      </c>
      <c r="U70" t="s">
        <v>112</v>
      </c>
      <c r="V70" s="1">
        <v>1255.0999999999999</v>
      </c>
      <c r="W70" s="2">
        <f>Merged_Clinical_Finance_Data[[#This Row],[Occupied_Beds]]/Merged_Clinical_Finance_Data[[#This Row],[Total_Beds]]</f>
        <v>0.8666666666666667</v>
      </c>
      <c r="X70">
        <f>IF(Merged_Clinical_Finance_Data[[#This Row],[30Day_Readmission]]="Yes",1,0)</f>
        <v>0</v>
      </c>
      <c r="Y70" t="str" cm="1">
        <f t="array" ref="Y7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70" t="str" cm="1">
        <f t="array" ref="Z70">_xlfn.IFS(Merged_Clinical_Finance_Data[[#This Row],[Length_of_Stay_Days]]&lt;3,"Short (&lt;3)",Merged_Clinical_Finance_Data[[#This Row],[Length_of_Stay_Days]]&lt;=7,"Medium (3-7)",TRUE,"Long (&gt;7)")</f>
        <v>Medium (3-7)</v>
      </c>
      <c r="AA70" s="3">
        <f>EOMONTH(Merged_Clinical_Finance_Data[[#This Row],[Admission_Date]],-1)+1</f>
        <v>45992</v>
      </c>
      <c r="AB70" s="1">
        <f>Merged_Clinical_Finance_Data[[#This Row],[Daily_Bed_Cost_GBP]]*Merged_Clinical_Finance_Data[[#This Row],[Length_of_Stay_Days]]</f>
        <v>1434.9999999999998</v>
      </c>
      <c r="AC70" t="str">
        <f>IF(Merged_Clinical_Finance_Data[[#This Row],[Total_Encounter_Cost_Naira]]&gt;AVERAGE(Merged_Clinical_Finance_Data[[#This Row],[Total_Encounter_Cost_Naira]]),"High","Normal")</f>
        <v>Normal</v>
      </c>
    </row>
    <row r="71" spans="1:29" x14ac:dyDescent="0.25">
      <c r="A71" t="s">
        <v>191</v>
      </c>
      <c r="B71" t="s">
        <v>102</v>
      </c>
      <c r="C71" t="s">
        <v>103</v>
      </c>
      <c r="D71" t="s">
        <v>60</v>
      </c>
      <c r="E71" s="3">
        <v>45834</v>
      </c>
      <c r="F71" s="3">
        <v>45835</v>
      </c>
      <c r="G71">
        <v>1.5</v>
      </c>
      <c r="H71">
        <v>58</v>
      </c>
      <c r="I71" t="s">
        <v>33</v>
      </c>
      <c r="J71" t="s">
        <v>81</v>
      </c>
      <c r="K71" t="s">
        <v>104</v>
      </c>
      <c r="L71" t="s">
        <v>124</v>
      </c>
      <c r="M71" t="s">
        <v>47</v>
      </c>
      <c r="N71" t="s">
        <v>38</v>
      </c>
      <c r="O71">
        <v>25</v>
      </c>
      <c r="P71">
        <v>30</v>
      </c>
      <c r="Q71">
        <v>0.83330000000000004</v>
      </c>
      <c r="R71">
        <v>450</v>
      </c>
      <c r="S71" s="1">
        <v>675</v>
      </c>
      <c r="T71" t="s">
        <v>96</v>
      </c>
      <c r="U71" t="s">
        <v>97</v>
      </c>
      <c r="V71" s="1">
        <v>2586.67</v>
      </c>
      <c r="W71" s="2">
        <f>Merged_Clinical_Finance_Data[[#This Row],[Occupied_Beds]]/Merged_Clinical_Finance_Data[[#This Row],[Total_Beds]]</f>
        <v>0.83333333333333337</v>
      </c>
      <c r="X71">
        <f>IF(Merged_Clinical_Finance_Data[[#This Row],[30Day_Readmission]]="Yes",1,0)</f>
        <v>0</v>
      </c>
      <c r="Y71" t="str" cm="1">
        <f t="array" ref="Y7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71" t="str" cm="1">
        <f t="array" ref="Z71">_xlfn.IFS(Merged_Clinical_Finance_Data[[#This Row],[Length_of_Stay_Days]]&lt;3,"Short (&lt;3)",Merged_Clinical_Finance_Data[[#This Row],[Length_of_Stay_Days]]&lt;=7,"Medium (3-7)",TRUE,"Long (&gt;7)")</f>
        <v>Short (&lt;3)</v>
      </c>
      <c r="AA71" s="3">
        <f>EOMONTH(Merged_Clinical_Finance_Data[[#This Row],[Admission_Date]],-1)+1</f>
        <v>45809</v>
      </c>
      <c r="AB71" s="1">
        <f>Merged_Clinical_Finance_Data[[#This Row],[Daily_Bed_Cost_GBP]]*Merged_Clinical_Finance_Data[[#This Row],[Length_of_Stay_Days]]</f>
        <v>675</v>
      </c>
      <c r="AC71" t="str">
        <f>IF(Merged_Clinical_Finance_Data[[#This Row],[Total_Encounter_Cost_Naira]]&gt;AVERAGE(Merged_Clinical_Finance_Data[[#This Row],[Total_Encounter_Cost_Naira]]),"High","Normal")</f>
        <v>Normal</v>
      </c>
    </row>
    <row r="72" spans="1:29" x14ac:dyDescent="0.25">
      <c r="A72" t="s">
        <v>192</v>
      </c>
      <c r="B72" t="s">
        <v>107</v>
      </c>
      <c r="C72" t="s">
        <v>108</v>
      </c>
      <c r="D72" t="s">
        <v>60</v>
      </c>
      <c r="E72" s="3">
        <v>45722</v>
      </c>
      <c r="F72" s="3">
        <v>45727</v>
      </c>
      <c r="G72">
        <v>5.5</v>
      </c>
      <c r="H72">
        <v>46</v>
      </c>
      <c r="I72" t="s">
        <v>43</v>
      </c>
      <c r="J72" t="s">
        <v>51</v>
      </c>
      <c r="K72" t="s">
        <v>158</v>
      </c>
      <c r="L72" t="s">
        <v>193</v>
      </c>
      <c r="M72" t="s">
        <v>47</v>
      </c>
      <c r="N72" t="s">
        <v>38</v>
      </c>
      <c r="O72">
        <v>18</v>
      </c>
      <c r="P72">
        <v>30</v>
      </c>
      <c r="Q72">
        <v>0.6</v>
      </c>
      <c r="R72">
        <v>510</v>
      </c>
      <c r="S72" s="1">
        <v>2805</v>
      </c>
      <c r="T72" t="s">
        <v>136</v>
      </c>
      <c r="U72" t="s">
        <v>137</v>
      </c>
      <c r="V72" s="1">
        <v>1920.15</v>
      </c>
      <c r="W72" s="2">
        <f>Merged_Clinical_Finance_Data[[#This Row],[Occupied_Beds]]/Merged_Clinical_Finance_Data[[#This Row],[Total_Beds]]</f>
        <v>0.6</v>
      </c>
      <c r="X72">
        <f>IF(Merged_Clinical_Finance_Data[[#This Row],[30Day_Readmission]]="Yes",1,0)</f>
        <v>0</v>
      </c>
      <c r="Y72" t="str" cm="1">
        <f t="array" ref="Y7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72" t="str" cm="1">
        <f t="array" ref="Z72">_xlfn.IFS(Merged_Clinical_Finance_Data[[#This Row],[Length_of_Stay_Days]]&lt;3,"Short (&lt;3)",Merged_Clinical_Finance_Data[[#This Row],[Length_of_Stay_Days]]&lt;=7,"Medium (3-7)",TRUE,"Long (&gt;7)")</f>
        <v>Medium (3-7)</v>
      </c>
      <c r="AA72" s="3">
        <f>EOMONTH(Merged_Clinical_Finance_Data[[#This Row],[Admission_Date]],-1)+1</f>
        <v>45717</v>
      </c>
      <c r="AB72" s="1">
        <f>Merged_Clinical_Finance_Data[[#This Row],[Daily_Bed_Cost_GBP]]*Merged_Clinical_Finance_Data[[#This Row],[Length_of_Stay_Days]]</f>
        <v>2805</v>
      </c>
      <c r="AC72" t="str">
        <f>IF(Merged_Clinical_Finance_Data[[#This Row],[Total_Encounter_Cost_Naira]]&gt;AVERAGE(Merged_Clinical_Finance_Data[[#This Row],[Total_Encounter_Cost_Naira]]),"High","Normal")</f>
        <v>Normal</v>
      </c>
    </row>
    <row r="73" spans="1:29" x14ac:dyDescent="0.25">
      <c r="A73" t="s">
        <v>194</v>
      </c>
      <c r="B73" t="s">
        <v>107</v>
      </c>
      <c r="C73" t="s">
        <v>108</v>
      </c>
      <c r="D73" t="s">
        <v>42</v>
      </c>
      <c r="E73" s="3">
        <v>45770</v>
      </c>
      <c r="F73" s="3">
        <v>45777</v>
      </c>
      <c r="G73">
        <v>7.6</v>
      </c>
      <c r="H73">
        <v>45</v>
      </c>
      <c r="I73" t="s">
        <v>33</v>
      </c>
      <c r="J73" t="s">
        <v>51</v>
      </c>
      <c r="K73" t="s">
        <v>158</v>
      </c>
      <c r="L73" t="s">
        <v>121</v>
      </c>
      <c r="M73" t="s">
        <v>54</v>
      </c>
      <c r="N73" t="s">
        <v>38</v>
      </c>
      <c r="O73">
        <v>23</v>
      </c>
      <c r="P73">
        <v>30</v>
      </c>
      <c r="Q73">
        <v>0.76670000000000005</v>
      </c>
      <c r="R73">
        <v>400</v>
      </c>
      <c r="S73" s="1">
        <v>3040</v>
      </c>
      <c r="T73" t="s">
        <v>64</v>
      </c>
      <c r="U73" t="s">
        <v>65</v>
      </c>
      <c r="V73" s="1">
        <v>2469.8200000000002</v>
      </c>
      <c r="W73" s="2">
        <f>Merged_Clinical_Finance_Data[[#This Row],[Occupied_Beds]]/Merged_Clinical_Finance_Data[[#This Row],[Total_Beds]]</f>
        <v>0.76666666666666672</v>
      </c>
      <c r="X73">
        <f>IF(Merged_Clinical_Finance_Data[[#This Row],[30Day_Readmission]]="Yes",1,0)</f>
        <v>0</v>
      </c>
      <c r="Y73" t="str" cm="1">
        <f t="array" ref="Y7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73" t="str" cm="1">
        <f t="array" ref="Z73">_xlfn.IFS(Merged_Clinical_Finance_Data[[#This Row],[Length_of_Stay_Days]]&lt;3,"Short (&lt;3)",Merged_Clinical_Finance_Data[[#This Row],[Length_of_Stay_Days]]&lt;=7,"Medium (3-7)",TRUE,"Long (&gt;7)")</f>
        <v>Long (&gt;7)</v>
      </c>
      <c r="AA73" s="3">
        <f>EOMONTH(Merged_Clinical_Finance_Data[[#This Row],[Admission_Date]],-1)+1</f>
        <v>45748</v>
      </c>
      <c r="AB73" s="1">
        <f>Merged_Clinical_Finance_Data[[#This Row],[Daily_Bed_Cost_GBP]]*Merged_Clinical_Finance_Data[[#This Row],[Length_of_Stay_Days]]</f>
        <v>3040</v>
      </c>
      <c r="AC73" t="str">
        <f>IF(Merged_Clinical_Finance_Data[[#This Row],[Total_Encounter_Cost_Naira]]&gt;AVERAGE(Merged_Clinical_Finance_Data[[#This Row],[Total_Encounter_Cost_Naira]]),"High","Normal")</f>
        <v>Normal</v>
      </c>
    </row>
    <row r="74" spans="1:29" x14ac:dyDescent="0.25">
      <c r="A74" t="s">
        <v>195</v>
      </c>
      <c r="B74" t="s">
        <v>79</v>
      </c>
      <c r="C74" t="s">
        <v>80</v>
      </c>
      <c r="D74" t="s">
        <v>42</v>
      </c>
      <c r="E74" s="3">
        <v>45782</v>
      </c>
      <c r="F74" s="3">
        <v>45784</v>
      </c>
      <c r="G74">
        <v>2.2000000000000002</v>
      </c>
      <c r="H74">
        <v>31</v>
      </c>
      <c r="I74" t="s">
        <v>43</v>
      </c>
      <c r="J74" t="s">
        <v>61</v>
      </c>
      <c r="K74" t="s">
        <v>82</v>
      </c>
      <c r="L74" t="s">
        <v>145</v>
      </c>
      <c r="M74" t="s">
        <v>54</v>
      </c>
      <c r="N74" t="s">
        <v>38</v>
      </c>
      <c r="O74">
        <v>21</v>
      </c>
      <c r="P74">
        <v>30</v>
      </c>
      <c r="Q74">
        <v>0.7</v>
      </c>
      <c r="R74">
        <v>510</v>
      </c>
      <c r="S74" s="1">
        <v>1122</v>
      </c>
      <c r="T74" t="s">
        <v>64</v>
      </c>
      <c r="U74" t="s">
        <v>65</v>
      </c>
      <c r="V74" s="1">
        <v>2746.32</v>
      </c>
      <c r="W74" s="2">
        <f>Merged_Clinical_Finance_Data[[#This Row],[Occupied_Beds]]/Merged_Clinical_Finance_Data[[#This Row],[Total_Beds]]</f>
        <v>0.7</v>
      </c>
      <c r="X74">
        <f>IF(Merged_Clinical_Finance_Data[[#This Row],[30Day_Readmission]]="Yes",1,0)</f>
        <v>0</v>
      </c>
      <c r="Y74" t="str" cm="1">
        <f t="array" ref="Y7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74" t="str" cm="1">
        <f t="array" ref="Z74">_xlfn.IFS(Merged_Clinical_Finance_Data[[#This Row],[Length_of_Stay_Days]]&lt;3,"Short (&lt;3)",Merged_Clinical_Finance_Data[[#This Row],[Length_of_Stay_Days]]&lt;=7,"Medium (3-7)",TRUE,"Long (&gt;7)")</f>
        <v>Short (&lt;3)</v>
      </c>
      <c r="AA74" s="3">
        <f>EOMONTH(Merged_Clinical_Finance_Data[[#This Row],[Admission_Date]],-1)+1</f>
        <v>45778</v>
      </c>
      <c r="AB74" s="1">
        <f>Merged_Clinical_Finance_Data[[#This Row],[Daily_Bed_Cost_GBP]]*Merged_Clinical_Finance_Data[[#This Row],[Length_of_Stay_Days]]</f>
        <v>1122</v>
      </c>
      <c r="AC74" t="str">
        <f>IF(Merged_Clinical_Finance_Data[[#This Row],[Total_Encounter_Cost_Naira]]&gt;AVERAGE(Merged_Clinical_Finance_Data[[#This Row],[Total_Encounter_Cost_Naira]]),"High","Normal")</f>
        <v>Normal</v>
      </c>
    </row>
    <row r="75" spans="1:29" x14ac:dyDescent="0.25">
      <c r="A75" t="s">
        <v>196</v>
      </c>
      <c r="B75" t="s">
        <v>79</v>
      </c>
      <c r="C75" t="s">
        <v>80</v>
      </c>
      <c r="D75" t="s">
        <v>42</v>
      </c>
      <c r="E75" s="3">
        <v>45753</v>
      </c>
      <c r="F75" s="3">
        <v>45756</v>
      </c>
      <c r="G75">
        <v>3.8</v>
      </c>
      <c r="H75">
        <v>56</v>
      </c>
      <c r="I75" t="s">
        <v>33</v>
      </c>
      <c r="J75" t="s">
        <v>81</v>
      </c>
      <c r="K75" t="s">
        <v>87</v>
      </c>
      <c r="L75" t="s">
        <v>88</v>
      </c>
      <c r="M75" t="s">
        <v>54</v>
      </c>
      <c r="N75" t="s">
        <v>38</v>
      </c>
      <c r="O75">
        <v>20</v>
      </c>
      <c r="P75">
        <v>30</v>
      </c>
      <c r="Q75">
        <v>0.66669999999999996</v>
      </c>
      <c r="R75">
        <v>350</v>
      </c>
      <c r="S75" s="1">
        <v>1330</v>
      </c>
      <c r="T75" t="s">
        <v>39</v>
      </c>
      <c r="U75" t="s">
        <v>40</v>
      </c>
      <c r="V75" s="1">
        <v>3881.6</v>
      </c>
      <c r="W75" s="2">
        <f>Merged_Clinical_Finance_Data[[#This Row],[Occupied_Beds]]/Merged_Clinical_Finance_Data[[#This Row],[Total_Beds]]</f>
        <v>0.66666666666666663</v>
      </c>
      <c r="X75">
        <f>IF(Merged_Clinical_Finance_Data[[#This Row],[30Day_Readmission]]="Yes",1,0)</f>
        <v>0</v>
      </c>
      <c r="Y75" t="str" cm="1">
        <f t="array" ref="Y7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75" t="str" cm="1">
        <f t="array" ref="Z75">_xlfn.IFS(Merged_Clinical_Finance_Data[[#This Row],[Length_of_Stay_Days]]&lt;3,"Short (&lt;3)",Merged_Clinical_Finance_Data[[#This Row],[Length_of_Stay_Days]]&lt;=7,"Medium (3-7)",TRUE,"Long (&gt;7)")</f>
        <v>Medium (3-7)</v>
      </c>
      <c r="AA75" s="3">
        <f>EOMONTH(Merged_Clinical_Finance_Data[[#This Row],[Admission_Date]],-1)+1</f>
        <v>45748</v>
      </c>
      <c r="AB75" s="1">
        <f>Merged_Clinical_Finance_Data[[#This Row],[Daily_Bed_Cost_GBP]]*Merged_Clinical_Finance_Data[[#This Row],[Length_of_Stay_Days]]</f>
        <v>1330</v>
      </c>
      <c r="AC75" t="str">
        <f>IF(Merged_Clinical_Finance_Data[[#This Row],[Total_Encounter_Cost_Naira]]&gt;AVERAGE(Merged_Clinical_Finance_Data[[#This Row],[Total_Encounter_Cost_Naira]]),"High","Normal")</f>
        <v>Normal</v>
      </c>
    </row>
    <row r="76" spans="1:29" x14ac:dyDescent="0.25">
      <c r="A76" t="s">
        <v>197</v>
      </c>
      <c r="B76" t="s">
        <v>49</v>
      </c>
      <c r="C76" t="s">
        <v>50</v>
      </c>
      <c r="D76" t="s">
        <v>42</v>
      </c>
      <c r="E76" s="3">
        <v>45713</v>
      </c>
      <c r="F76" s="3">
        <v>45723</v>
      </c>
      <c r="G76">
        <v>10.8</v>
      </c>
      <c r="H76">
        <v>72</v>
      </c>
      <c r="I76" t="s">
        <v>43</v>
      </c>
      <c r="J76" t="s">
        <v>81</v>
      </c>
      <c r="K76" t="s">
        <v>143</v>
      </c>
      <c r="L76" t="s">
        <v>126</v>
      </c>
      <c r="M76" t="s">
        <v>47</v>
      </c>
      <c r="N76" t="s">
        <v>71</v>
      </c>
      <c r="O76">
        <v>23</v>
      </c>
      <c r="P76">
        <v>30</v>
      </c>
      <c r="Q76">
        <v>0.76670000000000005</v>
      </c>
      <c r="R76">
        <v>400</v>
      </c>
      <c r="S76" s="1">
        <v>4320</v>
      </c>
      <c r="T76" t="s">
        <v>84</v>
      </c>
      <c r="U76" t="s">
        <v>85</v>
      </c>
      <c r="V76" s="1">
        <v>6735.18</v>
      </c>
      <c r="W76" s="2">
        <f>Merged_Clinical_Finance_Data[[#This Row],[Occupied_Beds]]/Merged_Clinical_Finance_Data[[#This Row],[Total_Beds]]</f>
        <v>0.76666666666666672</v>
      </c>
      <c r="X76">
        <f>IF(Merged_Clinical_Finance_Data[[#This Row],[30Day_Readmission]]="Yes",1,0)</f>
        <v>1</v>
      </c>
      <c r="Y76" t="str" cm="1">
        <f t="array" ref="Y7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76" t="str" cm="1">
        <f t="array" ref="Z76">_xlfn.IFS(Merged_Clinical_Finance_Data[[#This Row],[Length_of_Stay_Days]]&lt;3,"Short (&lt;3)",Merged_Clinical_Finance_Data[[#This Row],[Length_of_Stay_Days]]&lt;=7,"Medium (3-7)",TRUE,"Long (&gt;7)")</f>
        <v>Long (&gt;7)</v>
      </c>
      <c r="AA76" s="3">
        <f>EOMONTH(Merged_Clinical_Finance_Data[[#This Row],[Admission_Date]],-1)+1</f>
        <v>45689</v>
      </c>
      <c r="AB76" s="1">
        <f>Merged_Clinical_Finance_Data[[#This Row],[Daily_Bed_Cost_GBP]]*Merged_Clinical_Finance_Data[[#This Row],[Length_of_Stay_Days]]</f>
        <v>4320</v>
      </c>
      <c r="AC76" t="str">
        <f>IF(Merged_Clinical_Finance_Data[[#This Row],[Total_Encounter_Cost_Naira]]&gt;AVERAGE(Merged_Clinical_Finance_Data[[#This Row],[Total_Encounter_Cost_Naira]]),"High","Normal")</f>
        <v>Normal</v>
      </c>
    </row>
    <row r="77" spans="1:29" x14ac:dyDescent="0.25">
      <c r="A77" t="s">
        <v>198</v>
      </c>
      <c r="B77" t="s">
        <v>79</v>
      </c>
      <c r="C77" t="s">
        <v>80</v>
      </c>
      <c r="D77" t="s">
        <v>42</v>
      </c>
      <c r="E77" s="3">
        <v>45821</v>
      </c>
      <c r="F77" s="3">
        <v>45825</v>
      </c>
      <c r="G77">
        <v>4.7</v>
      </c>
      <c r="H77">
        <v>51</v>
      </c>
      <c r="I77" t="s">
        <v>33</v>
      </c>
      <c r="J77" t="s">
        <v>51</v>
      </c>
      <c r="K77" t="s">
        <v>82</v>
      </c>
      <c r="L77" t="s">
        <v>83</v>
      </c>
      <c r="M77" t="s">
        <v>37</v>
      </c>
      <c r="N77" t="s">
        <v>38</v>
      </c>
      <c r="O77">
        <v>14</v>
      </c>
      <c r="P77">
        <v>30</v>
      </c>
      <c r="Q77">
        <v>0.4667</v>
      </c>
      <c r="R77">
        <v>350</v>
      </c>
      <c r="S77" s="1">
        <v>1645</v>
      </c>
      <c r="T77" t="s">
        <v>84</v>
      </c>
      <c r="U77" t="s">
        <v>85</v>
      </c>
      <c r="V77" s="1">
        <v>2106.6999999999998</v>
      </c>
      <c r="W77" s="2">
        <f>Merged_Clinical_Finance_Data[[#This Row],[Occupied_Beds]]/Merged_Clinical_Finance_Data[[#This Row],[Total_Beds]]</f>
        <v>0.46666666666666667</v>
      </c>
      <c r="X77">
        <f>IF(Merged_Clinical_Finance_Data[[#This Row],[30Day_Readmission]]="Yes",1,0)</f>
        <v>0</v>
      </c>
      <c r="Y77" t="str" cm="1">
        <f t="array" ref="Y7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77" t="str" cm="1">
        <f t="array" ref="Z77">_xlfn.IFS(Merged_Clinical_Finance_Data[[#This Row],[Length_of_Stay_Days]]&lt;3,"Short (&lt;3)",Merged_Clinical_Finance_Data[[#This Row],[Length_of_Stay_Days]]&lt;=7,"Medium (3-7)",TRUE,"Long (&gt;7)")</f>
        <v>Medium (3-7)</v>
      </c>
      <c r="AA77" s="3">
        <f>EOMONTH(Merged_Clinical_Finance_Data[[#This Row],[Admission_Date]],-1)+1</f>
        <v>45809</v>
      </c>
      <c r="AB77" s="1">
        <f>Merged_Clinical_Finance_Data[[#This Row],[Daily_Bed_Cost_GBP]]*Merged_Clinical_Finance_Data[[#This Row],[Length_of_Stay_Days]]</f>
        <v>1645</v>
      </c>
      <c r="AC77" t="str">
        <f>IF(Merged_Clinical_Finance_Data[[#This Row],[Total_Encounter_Cost_Naira]]&gt;AVERAGE(Merged_Clinical_Finance_Data[[#This Row],[Total_Encounter_Cost_Naira]]),"High","Normal")</f>
        <v>Normal</v>
      </c>
    </row>
    <row r="78" spans="1:29" x14ac:dyDescent="0.25">
      <c r="A78" t="s">
        <v>199</v>
      </c>
      <c r="B78" t="s">
        <v>58</v>
      </c>
      <c r="C78" t="s">
        <v>59</v>
      </c>
      <c r="D78" t="s">
        <v>60</v>
      </c>
      <c r="E78" s="3">
        <v>45699</v>
      </c>
      <c r="F78" s="3">
        <v>45705</v>
      </c>
      <c r="G78">
        <v>6.1</v>
      </c>
      <c r="H78">
        <v>67</v>
      </c>
      <c r="I78" t="s">
        <v>43</v>
      </c>
      <c r="J78" t="s">
        <v>51</v>
      </c>
      <c r="K78" t="s">
        <v>62</v>
      </c>
      <c r="L78" t="s">
        <v>119</v>
      </c>
      <c r="M78" t="s">
        <v>47</v>
      </c>
      <c r="N78" t="s">
        <v>71</v>
      </c>
      <c r="O78">
        <v>20</v>
      </c>
      <c r="P78">
        <v>30</v>
      </c>
      <c r="Q78">
        <v>0.66669999999999996</v>
      </c>
      <c r="R78">
        <v>450</v>
      </c>
      <c r="S78" s="1">
        <v>2745</v>
      </c>
      <c r="T78" t="s">
        <v>84</v>
      </c>
      <c r="U78" t="s">
        <v>85</v>
      </c>
      <c r="V78" s="1">
        <v>2834.03</v>
      </c>
      <c r="W78" s="2">
        <f>Merged_Clinical_Finance_Data[[#This Row],[Occupied_Beds]]/Merged_Clinical_Finance_Data[[#This Row],[Total_Beds]]</f>
        <v>0.66666666666666663</v>
      </c>
      <c r="X78">
        <f>IF(Merged_Clinical_Finance_Data[[#This Row],[30Day_Readmission]]="Yes",1,0)</f>
        <v>1</v>
      </c>
      <c r="Y78" t="str" cm="1">
        <f t="array" ref="Y7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78" t="str" cm="1">
        <f t="array" ref="Z78">_xlfn.IFS(Merged_Clinical_Finance_Data[[#This Row],[Length_of_Stay_Days]]&lt;3,"Short (&lt;3)",Merged_Clinical_Finance_Data[[#This Row],[Length_of_Stay_Days]]&lt;=7,"Medium (3-7)",TRUE,"Long (&gt;7)")</f>
        <v>Medium (3-7)</v>
      </c>
      <c r="AA78" s="3">
        <f>EOMONTH(Merged_Clinical_Finance_Data[[#This Row],[Admission_Date]],-1)+1</f>
        <v>45689</v>
      </c>
      <c r="AB78" s="1">
        <f>Merged_Clinical_Finance_Data[[#This Row],[Daily_Bed_Cost_GBP]]*Merged_Clinical_Finance_Data[[#This Row],[Length_of_Stay_Days]]</f>
        <v>2745</v>
      </c>
      <c r="AC78" t="str">
        <f>IF(Merged_Clinical_Finance_Data[[#This Row],[Total_Encounter_Cost_Naira]]&gt;AVERAGE(Merged_Clinical_Finance_Data[[#This Row],[Total_Encounter_Cost_Naira]]),"High","Normal")</f>
        <v>Normal</v>
      </c>
    </row>
    <row r="79" spans="1:29" x14ac:dyDescent="0.25">
      <c r="A79" t="s">
        <v>200</v>
      </c>
      <c r="B79" t="s">
        <v>30</v>
      </c>
      <c r="C79" t="s">
        <v>31</v>
      </c>
      <c r="D79" t="s">
        <v>42</v>
      </c>
      <c r="E79" s="3">
        <v>45991</v>
      </c>
      <c r="F79" s="3">
        <v>45993</v>
      </c>
      <c r="G79">
        <v>2.1</v>
      </c>
      <c r="H79">
        <v>42</v>
      </c>
      <c r="I79" t="s">
        <v>33</v>
      </c>
      <c r="J79" t="s">
        <v>34</v>
      </c>
      <c r="K79" t="s">
        <v>35</v>
      </c>
      <c r="L79" t="s">
        <v>92</v>
      </c>
      <c r="M79" t="s">
        <v>47</v>
      </c>
      <c r="N79" t="s">
        <v>38</v>
      </c>
      <c r="O79">
        <v>30</v>
      </c>
      <c r="P79">
        <v>30</v>
      </c>
      <c r="Q79">
        <v>1</v>
      </c>
      <c r="R79">
        <v>480</v>
      </c>
      <c r="S79" s="1">
        <v>1008</v>
      </c>
      <c r="T79" t="s">
        <v>64</v>
      </c>
      <c r="U79" t="s">
        <v>65</v>
      </c>
      <c r="V79" s="1">
        <v>3092.09</v>
      </c>
      <c r="W79" s="2">
        <f>Merged_Clinical_Finance_Data[[#This Row],[Occupied_Beds]]/Merged_Clinical_Finance_Data[[#This Row],[Total_Beds]]</f>
        <v>1</v>
      </c>
      <c r="X79">
        <f>IF(Merged_Clinical_Finance_Data[[#This Row],[30Day_Readmission]]="Yes",1,0)</f>
        <v>0</v>
      </c>
      <c r="Y79" t="str" cm="1">
        <f t="array" ref="Y7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79" t="str" cm="1">
        <f t="array" ref="Z79">_xlfn.IFS(Merged_Clinical_Finance_Data[[#This Row],[Length_of_Stay_Days]]&lt;3,"Short (&lt;3)",Merged_Clinical_Finance_Data[[#This Row],[Length_of_Stay_Days]]&lt;=7,"Medium (3-7)",TRUE,"Long (&gt;7)")</f>
        <v>Short (&lt;3)</v>
      </c>
      <c r="AA79" s="3">
        <f>EOMONTH(Merged_Clinical_Finance_Data[[#This Row],[Admission_Date]],-1)+1</f>
        <v>45962</v>
      </c>
      <c r="AB79" s="1">
        <f>Merged_Clinical_Finance_Data[[#This Row],[Daily_Bed_Cost_GBP]]*Merged_Clinical_Finance_Data[[#This Row],[Length_of_Stay_Days]]</f>
        <v>1008</v>
      </c>
      <c r="AC79" t="str">
        <f>IF(Merged_Clinical_Finance_Data[[#This Row],[Total_Encounter_Cost_Naira]]&gt;AVERAGE(Merged_Clinical_Finance_Data[[#This Row],[Total_Encounter_Cost_Naira]]),"High","Normal")</f>
        <v>Normal</v>
      </c>
    </row>
    <row r="80" spans="1:29" x14ac:dyDescent="0.25">
      <c r="A80" t="s">
        <v>201</v>
      </c>
      <c r="B80" t="s">
        <v>107</v>
      </c>
      <c r="C80" t="s">
        <v>108</v>
      </c>
      <c r="D80" t="s">
        <v>60</v>
      </c>
      <c r="E80" s="3">
        <v>45737</v>
      </c>
      <c r="F80" s="3">
        <v>45739</v>
      </c>
      <c r="G80">
        <v>2.2000000000000002</v>
      </c>
      <c r="H80">
        <v>78</v>
      </c>
      <c r="I80" t="s">
        <v>43</v>
      </c>
      <c r="J80" t="s">
        <v>51</v>
      </c>
      <c r="K80" t="s">
        <v>109</v>
      </c>
      <c r="L80" t="s">
        <v>121</v>
      </c>
      <c r="M80" t="s">
        <v>74</v>
      </c>
      <c r="N80" t="s">
        <v>38</v>
      </c>
      <c r="O80">
        <v>30</v>
      </c>
      <c r="P80">
        <v>30</v>
      </c>
      <c r="Q80">
        <v>1</v>
      </c>
      <c r="R80">
        <v>400</v>
      </c>
      <c r="S80" s="1">
        <v>880</v>
      </c>
      <c r="T80" t="s">
        <v>89</v>
      </c>
      <c r="U80" t="s">
        <v>90</v>
      </c>
      <c r="V80" s="1">
        <v>3624.42</v>
      </c>
      <c r="W80" s="2">
        <f>Merged_Clinical_Finance_Data[[#This Row],[Occupied_Beds]]/Merged_Clinical_Finance_Data[[#This Row],[Total_Beds]]</f>
        <v>1</v>
      </c>
      <c r="X80">
        <f>IF(Merged_Clinical_Finance_Data[[#This Row],[30Day_Readmission]]="Yes",1,0)</f>
        <v>0</v>
      </c>
      <c r="Y80" t="str" cm="1">
        <f t="array" ref="Y8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80" t="str" cm="1">
        <f t="array" ref="Z80">_xlfn.IFS(Merged_Clinical_Finance_Data[[#This Row],[Length_of_Stay_Days]]&lt;3,"Short (&lt;3)",Merged_Clinical_Finance_Data[[#This Row],[Length_of_Stay_Days]]&lt;=7,"Medium (3-7)",TRUE,"Long (&gt;7)")</f>
        <v>Short (&lt;3)</v>
      </c>
      <c r="AA80" s="3">
        <f>EOMONTH(Merged_Clinical_Finance_Data[[#This Row],[Admission_Date]],-1)+1</f>
        <v>45717</v>
      </c>
      <c r="AB80" s="1">
        <f>Merged_Clinical_Finance_Data[[#This Row],[Daily_Bed_Cost_GBP]]*Merged_Clinical_Finance_Data[[#This Row],[Length_of_Stay_Days]]</f>
        <v>880.00000000000011</v>
      </c>
      <c r="AC80" t="str">
        <f>IF(Merged_Clinical_Finance_Data[[#This Row],[Total_Encounter_Cost_Naira]]&gt;AVERAGE(Merged_Clinical_Finance_Data[[#This Row],[Total_Encounter_Cost_Naira]]),"High","Normal")</f>
        <v>Normal</v>
      </c>
    </row>
    <row r="81" spans="1:29" x14ac:dyDescent="0.25">
      <c r="A81" t="s">
        <v>202</v>
      </c>
      <c r="B81" t="s">
        <v>114</v>
      </c>
      <c r="C81" t="s">
        <v>115</v>
      </c>
      <c r="D81" t="s">
        <v>42</v>
      </c>
      <c r="E81" s="3">
        <v>45819</v>
      </c>
      <c r="F81" s="3">
        <v>45831</v>
      </c>
      <c r="G81">
        <v>12.2</v>
      </c>
      <c r="H81">
        <v>50</v>
      </c>
      <c r="I81" t="s">
        <v>33</v>
      </c>
      <c r="J81" t="s">
        <v>51</v>
      </c>
      <c r="K81" t="s">
        <v>116</v>
      </c>
      <c r="L81" t="s">
        <v>161</v>
      </c>
      <c r="M81" t="s">
        <v>47</v>
      </c>
      <c r="N81" t="s">
        <v>71</v>
      </c>
      <c r="O81">
        <v>30</v>
      </c>
      <c r="P81">
        <v>30</v>
      </c>
      <c r="Q81">
        <v>1</v>
      </c>
      <c r="R81">
        <v>480</v>
      </c>
      <c r="S81" s="1">
        <v>5856</v>
      </c>
      <c r="T81" t="s">
        <v>64</v>
      </c>
      <c r="U81" t="s">
        <v>65</v>
      </c>
      <c r="V81" s="1">
        <v>879.02</v>
      </c>
      <c r="W81" s="2">
        <f>Merged_Clinical_Finance_Data[[#This Row],[Occupied_Beds]]/Merged_Clinical_Finance_Data[[#This Row],[Total_Beds]]</f>
        <v>1</v>
      </c>
      <c r="X81">
        <f>IF(Merged_Clinical_Finance_Data[[#This Row],[30Day_Readmission]]="Yes",1,0)</f>
        <v>1</v>
      </c>
      <c r="Y81" t="str" cm="1">
        <f t="array" ref="Y8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81" t="str" cm="1">
        <f t="array" ref="Z81">_xlfn.IFS(Merged_Clinical_Finance_Data[[#This Row],[Length_of_Stay_Days]]&lt;3,"Short (&lt;3)",Merged_Clinical_Finance_Data[[#This Row],[Length_of_Stay_Days]]&lt;=7,"Medium (3-7)",TRUE,"Long (&gt;7)")</f>
        <v>Long (&gt;7)</v>
      </c>
      <c r="AA81" s="3">
        <f>EOMONTH(Merged_Clinical_Finance_Data[[#This Row],[Admission_Date]],-1)+1</f>
        <v>45809</v>
      </c>
      <c r="AB81" s="1">
        <f>Merged_Clinical_Finance_Data[[#This Row],[Daily_Bed_Cost_GBP]]*Merged_Clinical_Finance_Data[[#This Row],[Length_of_Stay_Days]]</f>
        <v>5856</v>
      </c>
      <c r="AC81" t="str">
        <f>IF(Merged_Clinical_Finance_Data[[#This Row],[Total_Encounter_Cost_Naira]]&gt;AVERAGE(Merged_Clinical_Finance_Data[[#This Row],[Total_Encounter_Cost_Naira]]),"High","Normal")</f>
        <v>Normal</v>
      </c>
    </row>
    <row r="82" spans="1:29" x14ac:dyDescent="0.25">
      <c r="A82" t="s">
        <v>203</v>
      </c>
      <c r="B82" t="s">
        <v>102</v>
      </c>
      <c r="C82" t="s">
        <v>103</v>
      </c>
      <c r="D82" t="s">
        <v>42</v>
      </c>
      <c r="E82" s="3">
        <v>45908</v>
      </c>
      <c r="F82" s="3">
        <v>45909</v>
      </c>
      <c r="G82">
        <v>1.3</v>
      </c>
      <c r="H82">
        <v>47</v>
      </c>
      <c r="I82" t="s">
        <v>43</v>
      </c>
      <c r="J82" t="s">
        <v>44</v>
      </c>
      <c r="K82" t="s">
        <v>153</v>
      </c>
      <c r="L82" t="s">
        <v>164</v>
      </c>
      <c r="M82" t="s">
        <v>54</v>
      </c>
      <c r="N82" t="s">
        <v>38</v>
      </c>
      <c r="O82">
        <v>18</v>
      </c>
      <c r="P82">
        <v>30</v>
      </c>
      <c r="Q82">
        <v>0.6</v>
      </c>
      <c r="R82">
        <v>510</v>
      </c>
      <c r="S82" s="1">
        <v>663</v>
      </c>
      <c r="T82" t="s">
        <v>64</v>
      </c>
      <c r="U82" t="s">
        <v>65</v>
      </c>
      <c r="V82" s="1">
        <v>2325.71</v>
      </c>
      <c r="W82" s="2">
        <f>Merged_Clinical_Finance_Data[[#This Row],[Occupied_Beds]]/Merged_Clinical_Finance_Data[[#This Row],[Total_Beds]]</f>
        <v>0.6</v>
      </c>
      <c r="X82">
        <f>IF(Merged_Clinical_Finance_Data[[#This Row],[30Day_Readmission]]="Yes",1,0)</f>
        <v>0</v>
      </c>
      <c r="Y82" t="str" cm="1">
        <f t="array" ref="Y8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82" t="str" cm="1">
        <f t="array" ref="Z82">_xlfn.IFS(Merged_Clinical_Finance_Data[[#This Row],[Length_of_Stay_Days]]&lt;3,"Short (&lt;3)",Merged_Clinical_Finance_Data[[#This Row],[Length_of_Stay_Days]]&lt;=7,"Medium (3-7)",TRUE,"Long (&gt;7)")</f>
        <v>Short (&lt;3)</v>
      </c>
      <c r="AA82" s="3">
        <f>EOMONTH(Merged_Clinical_Finance_Data[[#This Row],[Admission_Date]],-1)+1</f>
        <v>45901</v>
      </c>
      <c r="AB82" s="1">
        <f>Merged_Clinical_Finance_Data[[#This Row],[Daily_Bed_Cost_GBP]]*Merged_Clinical_Finance_Data[[#This Row],[Length_of_Stay_Days]]</f>
        <v>663</v>
      </c>
      <c r="AC82" t="str">
        <f>IF(Merged_Clinical_Finance_Data[[#This Row],[Total_Encounter_Cost_Naira]]&gt;AVERAGE(Merged_Clinical_Finance_Data[[#This Row],[Total_Encounter_Cost_Naira]]),"High","Normal")</f>
        <v>Normal</v>
      </c>
    </row>
    <row r="83" spans="1:29" x14ac:dyDescent="0.25">
      <c r="A83" t="s">
        <v>204</v>
      </c>
      <c r="B83" t="s">
        <v>58</v>
      </c>
      <c r="C83" t="s">
        <v>59</v>
      </c>
      <c r="D83" t="s">
        <v>42</v>
      </c>
      <c r="E83" s="3">
        <v>45802</v>
      </c>
      <c r="F83" s="3">
        <v>45807</v>
      </c>
      <c r="G83">
        <v>5.0999999999999996</v>
      </c>
      <c r="H83">
        <v>61</v>
      </c>
      <c r="I83" t="s">
        <v>33</v>
      </c>
      <c r="J83" t="s">
        <v>73</v>
      </c>
      <c r="K83" t="s">
        <v>62</v>
      </c>
      <c r="L83" t="s">
        <v>119</v>
      </c>
      <c r="M83" t="s">
        <v>37</v>
      </c>
      <c r="N83" t="s">
        <v>38</v>
      </c>
      <c r="O83">
        <v>13</v>
      </c>
      <c r="P83">
        <v>30</v>
      </c>
      <c r="Q83">
        <v>0.43330000000000002</v>
      </c>
      <c r="R83">
        <v>480</v>
      </c>
      <c r="S83" s="1">
        <v>2448</v>
      </c>
      <c r="T83" t="s">
        <v>39</v>
      </c>
      <c r="U83" t="s">
        <v>40</v>
      </c>
      <c r="V83" s="1">
        <v>2424.54</v>
      </c>
      <c r="W83" s="2">
        <f>Merged_Clinical_Finance_Data[[#This Row],[Occupied_Beds]]/Merged_Clinical_Finance_Data[[#This Row],[Total_Beds]]</f>
        <v>0.43333333333333335</v>
      </c>
      <c r="X83">
        <f>IF(Merged_Clinical_Finance_Data[[#This Row],[30Day_Readmission]]="Yes",1,0)</f>
        <v>0</v>
      </c>
      <c r="Y83" t="str" cm="1">
        <f t="array" ref="Y8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83" t="str" cm="1">
        <f t="array" ref="Z83">_xlfn.IFS(Merged_Clinical_Finance_Data[[#This Row],[Length_of_Stay_Days]]&lt;3,"Short (&lt;3)",Merged_Clinical_Finance_Data[[#This Row],[Length_of_Stay_Days]]&lt;=7,"Medium (3-7)",TRUE,"Long (&gt;7)")</f>
        <v>Medium (3-7)</v>
      </c>
      <c r="AA83" s="3">
        <f>EOMONTH(Merged_Clinical_Finance_Data[[#This Row],[Admission_Date]],-1)+1</f>
        <v>45778</v>
      </c>
      <c r="AB83" s="1">
        <f>Merged_Clinical_Finance_Data[[#This Row],[Daily_Bed_Cost_GBP]]*Merged_Clinical_Finance_Data[[#This Row],[Length_of_Stay_Days]]</f>
        <v>2448</v>
      </c>
      <c r="AC83" t="str">
        <f>IF(Merged_Clinical_Finance_Data[[#This Row],[Total_Encounter_Cost_Naira]]&gt;AVERAGE(Merged_Clinical_Finance_Data[[#This Row],[Total_Encounter_Cost_Naira]]),"High","Normal")</f>
        <v>Normal</v>
      </c>
    </row>
    <row r="84" spans="1:29" x14ac:dyDescent="0.25">
      <c r="A84" t="s">
        <v>205</v>
      </c>
      <c r="B84" t="s">
        <v>67</v>
      </c>
      <c r="C84" t="s">
        <v>68</v>
      </c>
      <c r="D84" t="s">
        <v>60</v>
      </c>
      <c r="E84" s="3">
        <v>45759</v>
      </c>
      <c r="F84" s="3">
        <v>45761</v>
      </c>
      <c r="G84">
        <v>2.6</v>
      </c>
      <c r="H84">
        <v>19</v>
      </c>
      <c r="I84" t="s">
        <v>33</v>
      </c>
      <c r="J84" t="s">
        <v>51</v>
      </c>
      <c r="K84" t="s">
        <v>76</v>
      </c>
      <c r="L84" t="s">
        <v>70</v>
      </c>
      <c r="M84" t="s">
        <v>47</v>
      </c>
      <c r="N84" t="s">
        <v>38</v>
      </c>
      <c r="O84">
        <v>15</v>
      </c>
      <c r="P84">
        <v>30</v>
      </c>
      <c r="Q84">
        <v>0.5</v>
      </c>
      <c r="R84">
        <v>350</v>
      </c>
      <c r="S84" s="1">
        <v>910</v>
      </c>
      <c r="T84" t="s">
        <v>64</v>
      </c>
      <c r="U84" t="s">
        <v>65</v>
      </c>
      <c r="V84" s="1">
        <v>2221.08</v>
      </c>
      <c r="W84" s="2">
        <f>Merged_Clinical_Finance_Data[[#This Row],[Occupied_Beds]]/Merged_Clinical_Finance_Data[[#This Row],[Total_Beds]]</f>
        <v>0.5</v>
      </c>
      <c r="X84">
        <f>IF(Merged_Clinical_Finance_Data[[#This Row],[30Day_Readmission]]="Yes",1,0)</f>
        <v>0</v>
      </c>
      <c r="Y84" t="str" cm="1">
        <f t="array" ref="Y8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84" t="str" cm="1">
        <f t="array" ref="Z84">_xlfn.IFS(Merged_Clinical_Finance_Data[[#This Row],[Length_of_Stay_Days]]&lt;3,"Short (&lt;3)",Merged_Clinical_Finance_Data[[#This Row],[Length_of_Stay_Days]]&lt;=7,"Medium (3-7)",TRUE,"Long (&gt;7)")</f>
        <v>Short (&lt;3)</v>
      </c>
      <c r="AA84" s="3">
        <f>EOMONTH(Merged_Clinical_Finance_Data[[#This Row],[Admission_Date]],-1)+1</f>
        <v>45748</v>
      </c>
      <c r="AB84" s="1">
        <f>Merged_Clinical_Finance_Data[[#This Row],[Daily_Bed_Cost_GBP]]*Merged_Clinical_Finance_Data[[#This Row],[Length_of_Stay_Days]]</f>
        <v>910</v>
      </c>
      <c r="AC84" t="str">
        <f>IF(Merged_Clinical_Finance_Data[[#This Row],[Total_Encounter_Cost_Naira]]&gt;AVERAGE(Merged_Clinical_Finance_Data[[#This Row],[Total_Encounter_Cost_Naira]]),"High","Normal")</f>
        <v>Normal</v>
      </c>
    </row>
    <row r="85" spans="1:29" x14ac:dyDescent="0.25">
      <c r="A85" t="s">
        <v>206</v>
      </c>
      <c r="B85" t="s">
        <v>49</v>
      </c>
      <c r="C85" t="s">
        <v>50</v>
      </c>
      <c r="D85" t="s">
        <v>60</v>
      </c>
      <c r="E85" s="3">
        <v>45698</v>
      </c>
      <c r="F85" s="3">
        <v>45701</v>
      </c>
      <c r="G85">
        <v>3.2</v>
      </c>
      <c r="H85">
        <v>52</v>
      </c>
      <c r="I85" t="s">
        <v>43</v>
      </c>
      <c r="J85" t="s">
        <v>73</v>
      </c>
      <c r="K85" t="s">
        <v>52</v>
      </c>
      <c r="L85" t="s">
        <v>126</v>
      </c>
      <c r="M85" t="s">
        <v>54</v>
      </c>
      <c r="N85" t="s">
        <v>38</v>
      </c>
      <c r="O85">
        <v>13</v>
      </c>
      <c r="P85">
        <v>30</v>
      </c>
      <c r="Q85">
        <v>0.43330000000000002</v>
      </c>
      <c r="R85">
        <v>425</v>
      </c>
      <c r="S85" s="1">
        <v>1360</v>
      </c>
      <c r="T85" t="s">
        <v>55</v>
      </c>
      <c r="U85" t="s">
        <v>56</v>
      </c>
      <c r="V85" s="1">
        <v>1126.6400000000001</v>
      </c>
      <c r="W85" s="2">
        <f>Merged_Clinical_Finance_Data[[#This Row],[Occupied_Beds]]/Merged_Clinical_Finance_Data[[#This Row],[Total_Beds]]</f>
        <v>0.43333333333333335</v>
      </c>
      <c r="X85">
        <f>IF(Merged_Clinical_Finance_Data[[#This Row],[30Day_Readmission]]="Yes",1,0)</f>
        <v>0</v>
      </c>
      <c r="Y85" t="str" cm="1">
        <f t="array" ref="Y8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85" t="str" cm="1">
        <f t="array" ref="Z85">_xlfn.IFS(Merged_Clinical_Finance_Data[[#This Row],[Length_of_Stay_Days]]&lt;3,"Short (&lt;3)",Merged_Clinical_Finance_Data[[#This Row],[Length_of_Stay_Days]]&lt;=7,"Medium (3-7)",TRUE,"Long (&gt;7)")</f>
        <v>Medium (3-7)</v>
      </c>
      <c r="AA85" s="3">
        <f>EOMONTH(Merged_Clinical_Finance_Data[[#This Row],[Admission_Date]],-1)+1</f>
        <v>45689</v>
      </c>
      <c r="AB85" s="1">
        <f>Merged_Clinical_Finance_Data[[#This Row],[Daily_Bed_Cost_GBP]]*Merged_Clinical_Finance_Data[[#This Row],[Length_of_Stay_Days]]</f>
        <v>1360</v>
      </c>
      <c r="AC85" t="str">
        <f>IF(Merged_Clinical_Finance_Data[[#This Row],[Total_Encounter_Cost_Naira]]&gt;AVERAGE(Merged_Clinical_Finance_Data[[#This Row],[Total_Encounter_Cost_Naira]]),"High","Normal")</f>
        <v>Normal</v>
      </c>
    </row>
    <row r="86" spans="1:29" x14ac:dyDescent="0.25">
      <c r="A86" t="s">
        <v>207</v>
      </c>
      <c r="B86" t="s">
        <v>30</v>
      </c>
      <c r="C86" t="s">
        <v>31</v>
      </c>
      <c r="D86" t="s">
        <v>42</v>
      </c>
      <c r="E86" s="3">
        <v>45898</v>
      </c>
      <c r="F86" s="3">
        <v>45901</v>
      </c>
      <c r="G86">
        <v>3.4</v>
      </c>
      <c r="H86">
        <v>27</v>
      </c>
      <c r="I86" t="s">
        <v>43</v>
      </c>
      <c r="J86" t="s">
        <v>51</v>
      </c>
      <c r="K86" t="s">
        <v>35</v>
      </c>
      <c r="L86" t="s">
        <v>46</v>
      </c>
      <c r="M86" t="s">
        <v>37</v>
      </c>
      <c r="N86" t="s">
        <v>38</v>
      </c>
      <c r="O86">
        <v>18</v>
      </c>
      <c r="P86">
        <v>30</v>
      </c>
      <c r="Q86">
        <v>0.6</v>
      </c>
      <c r="R86">
        <v>350</v>
      </c>
      <c r="S86" s="1">
        <v>1190</v>
      </c>
      <c r="T86" t="s">
        <v>111</v>
      </c>
      <c r="U86" t="s">
        <v>112</v>
      </c>
      <c r="V86" s="1">
        <v>1175.81</v>
      </c>
      <c r="W86" s="2">
        <f>Merged_Clinical_Finance_Data[[#This Row],[Occupied_Beds]]/Merged_Clinical_Finance_Data[[#This Row],[Total_Beds]]</f>
        <v>0.6</v>
      </c>
      <c r="X86">
        <f>IF(Merged_Clinical_Finance_Data[[#This Row],[30Day_Readmission]]="Yes",1,0)</f>
        <v>0</v>
      </c>
      <c r="Y86" t="str" cm="1">
        <f t="array" ref="Y8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86" t="str" cm="1">
        <f t="array" ref="Z86">_xlfn.IFS(Merged_Clinical_Finance_Data[[#This Row],[Length_of_Stay_Days]]&lt;3,"Short (&lt;3)",Merged_Clinical_Finance_Data[[#This Row],[Length_of_Stay_Days]]&lt;=7,"Medium (3-7)",TRUE,"Long (&gt;7)")</f>
        <v>Medium (3-7)</v>
      </c>
      <c r="AA86" s="3">
        <f>EOMONTH(Merged_Clinical_Finance_Data[[#This Row],[Admission_Date]],-1)+1</f>
        <v>45870</v>
      </c>
      <c r="AB86" s="1">
        <f>Merged_Clinical_Finance_Data[[#This Row],[Daily_Bed_Cost_GBP]]*Merged_Clinical_Finance_Data[[#This Row],[Length_of_Stay_Days]]</f>
        <v>1190</v>
      </c>
      <c r="AC86" t="str">
        <f>IF(Merged_Clinical_Finance_Data[[#This Row],[Total_Encounter_Cost_Naira]]&gt;AVERAGE(Merged_Clinical_Finance_Data[[#This Row],[Total_Encounter_Cost_Naira]]),"High","Normal")</f>
        <v>Normal</v>
      </c>
    </row>
    <row r="87" spans="1:29" x14ac:dyDescent="0.25">
      <c r="A87" t="s">
        <v>208</v>
      </c>
      <c r="B87" t="s">
        <v>102</v>
      </c>
      <c r="C87" t="s">
        <v>103</v>
      </c>
      <c r="D87" t="s">
        <v>60</v>
      </c>
      <c r="E87" s="3">
        <v>45921</v>
      </c>
      <c r="F87" s="3">
        <v>45922</v>
      </c>
      <c r="G87">
        <v>1.6</v>
      </c>
      <c r="H87">
        <v>48</v>
      </c>
      <c r="I87" t="s">
        <v>33</v>
      </c>
      <c r="J87" t="s">
        <v>51</v>
      </c>
      <c r="K87" t="s">
        <v>153</v>
      </c>
      <c r="L87" t="s">
        <v>209</v>
      </c>
      <c r="M87" t="s">
        <v>74</v>
      </c>
      <c r="N87" t="s">
        <v>38</v>
      </c>
      <c r="O87">
        <v>15</v>
      </c>
      <c r="P87">
        <v>30</v>
      </c>
      <c r="Q87">
        <v>0.5</v>
      </c>
      <c r="R87">
        <v>375</v>
      </c>
      <c r="S87" s="1">
        <v>600</v>
      </c>
      <c r="T87" t="s">
        <v>96</v>
      </c>
      <c r="U87" t="s">
        <v>97</v>
      </c>
      <c r="V87" s="1">
        <v>1915.14</v>
      </c>
      <c r="W87" s="2">
        <f>Merged_Clinical_Finance_Data[[#This Row],[Occupied_Beds]]/Merged_Clinical_Finance_Data[[#This Row],[Total_Beds]]</f>
        <v>0.5</v>
      </c>
      <c r="X87">
        <f>IF(Merged_Clinical_Finance_Data[[#This Row],[30Day_Readmission]]="Yes",1,0)</f>
        <v>0</v>
      </c>
      <c r="Y87" t="str" cm="1">
        <f t="array" ref="Y8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87" t="str" cm="1">
        <f t="array" ref="Z87">_xlfn.IFS(Merged_Clinical_Finance_Data[[#This Row],[Length_of_Stay_Days]]&lt;3,"Short (&lt;3)",Merged_Clinical_Finance_Data[[#This Row],[Length_of_Stay_Days]]&lt;=7,"Medium (3-7)",TRUE,"Long (&gt;7)")</f>
        <v>Short (&lt;3)</v>
      </c>
      <c r="AA87" s="3">
        <f>EOMONTH(Merged_Clinical_Finance_Data[[#This Row],[Admission_Date]],-1)+1</f>
        <v>45901</v>
      </c>
      <c r="AB87" s="1">
        <f>Merged_Clinical_Finance_Data[[#This Row],[Daily_Bed_Cost_GBP]]*Merged_Clinical_Finance_Data[[#This Row],[Length_of_Stay_Days]]</f>
        <v>600</v>
      </c>
      <c r="AC87" t="str">
        <f>IF(Merged_Clinical_Finance_Data[[#This Row],[Total_Encounter_Cost_Naira]]&gt;AVERAGE(Merged_Clinical_Finance_Data[[#This Row],[Total_Encounter_Cost_Naira]]),"High","Normal")</f>
        <v>Normal</v>
      </c>
    </row>
    <row r="88" spans="1:29" x14ac:dyDescent="0.25">
      <c r="A88" t="s">
        <v>210</v>
      </c>
      <c r="B88" t="s">
        <v>107</v>
      </c>
      <c r="C88" t="s">
        <v>108</v>
      </c>
      <c r="D88" t="s">
        <v>42</v>
      </c>
      <c r="E88" s="3">
        <v>45904</v>
      </c>
      <c r="F88" s="3">
        <v>45910</v>
      </c>
      <c r="G88">
        <v>6.8</v>
      </c>
      <c r="H88">
        <v>41</v>
      </c>
      <c r="I88" t="s">
        <v>43</v>
      </c>
      <c r="J88" t="s">
        <v>51</v>
      </c>
      <c r="K88" t="s">
        <v>109</v>
      </c>
      <c r="L88" t="s">
        <v>110</v>
      </c>
      <c r="M88" t="s">
        <v>47</v>
      </c>
      <c r="N88" t="s">
        <v>38</v>
      </c>
      <c r="O88">
        <v>20</v>
      </c>
      <c r="P88">
        <v>30</v>
      </c>
      <c r="Q88">
        <v>0.66669999999999996</v>
      </c>
      <c r="R88">
        <v>450</v>
      </c>
      <c r="S88" s="1">
        <v>3060</v>
      </c>
      <c r="T88" t="s">
        <v>55</v>
      </c>
      <c r="U88" t="s">
        <v>56</v>
      </c>
      <c r="V88" s="1">
        <v>843.97</v>
      </c>
      <c r="W88" s="2">
        <f>Merged_Clinical_Finance_Data[[#This Row],[Occupied_Beds]]/Merged_Clinical_Finance_Data[[#This Row],[Total_Beds]]</f>
        <v>0.66666666666666663</v>
      </c>
      <c r="X88">
        <f>IF(Merged_Clinical_Finance_Data[[#This Row],[30Day_Readmission]]="Yes",1,0)</f>
        <v>0</v>
      </c>
      <c r="Y88" t="str" cm="1">
        <f t="array" ref="Y8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88" t="str" cm="1">
        <f t="array" ref="Z88">_xlfn.IFS(Merged_Clinical_Finance_Data[[#This Row],[Length_of_Stay_Days]]&lt;3,"Short (&lt;3)",Merged_Clinical_Finance_Data[[#This Row],[Length_of_Stay_Days]]&lt;=7,"Medium (3-7)",TRUE,"Long (&gt;7)")</f>
        <v>Medium (3-7)</v>
      </c>
      <c r="AA88" s="3">
        <f>EOMONTH(Merged_Clinical_Finance_Data[[#This Row],[Admission_Date]],-1)+1</f>
        <v>45901</v>
      </c>
      <c r="AB88" s="1">
        <f>Merged_Clinical_Finance_Data[[#This Row],[Daily_Bed_Cost_GBP]]*Merged_Clinical_Finance_Data[[#This Row],[Length_of_Stay_Days]]</f>
        <v>3060</v>
      </c>
      <c r="AC88" t="str">
        <f>IF(Merged_Clinical_Finance_Data[[#This Row],[Total_Encounter_Cost_Naira]]&gt;AVERAGE(Merged_Clinical_Finance_Data[[#This Row],[Total_Encounter_Cost_Naira]]),"High","Normal")</f>
        <v>Normal</v>
      </c>
    </row>
    <row r="89" spans="1:29" x14ac:dyDescent="0.25">
      <c r="A89" t="s">
        <v>211</v>
      </c>
      <c r="B89" t="s">
        <v>49</v>
      </c>
      <c r="C89" t="s">
        <v>50</v>
      </c>
      <c r="D89" t="s">
        <v>42</v>
      </c>
      <c r="E89" s="3">
        <v>45764</v>
      </c>
      <c r="F89" s="3">
        <v>45773</v>
      </c>
      <c r="G89">
        <v>9.6999999999999993</v>
      </c>
      <c r="H89">
        <v>86</v>
      </c>
      <c r="I89" t="s">
        <v>33</v>
      </c>
      <c r="J89" t="s">
        <v>81</v>
      </c>
      <c r="K89" t="s">
        <v>52</v>
      </c>
      <c r="L89" t="s">
        <v>179</v>
      </c>
      <c r="M89" t="s">
        <v>37</v>
      </c>
      <c r="N89" t="s">
        <v>38</v>
      </c>
      <c r="O89">
        <v>30</v>
      </c>
      <c r="P89">
        <v>30</v>
      </c>
      <c r="Q89">
        <v>1</v>
      </c>
      <c r="R89">
        <v>400</v>
      </c>
      <c r="S89" s="1">
        <v>3880</v>
      </c>
      <c r="T89" t="s">
        <v>89</v>
      </c>
      <c r="U89" t="s">
        <v>90</v>
      </c>
      <c r="V89" s="1">
        <v>8318.4500000000007</v>
      </c>
      <c r="W89" s="2">
        <f>Merged_Clinical_Finance_Data[[#This Row],[Occupied_Beds]]/Merged_Clinical_Finance_Data[[#This Row],[Total_Beds]]</f>
        <v>1</v>
      </c>
      <c r="X89">
        <f>IF(Merged_Clinical_Finance_Data[[#This Row],[30Day_Readmission]]="Yes",1,0)</f>
        <v>0</v>
      </c>
      <c r="Y89" t="str" cm="1">
        <f t="array" ref="Y8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89" t="str" cm="1">
        <f t="array" ref="Z89">_xlfn.IFS(Merged_Clinical_Finance_Data[[#This Row],[Length_of_Stay_Days]]&lt;3,"Short (&lt;3)",Merged_Clinical_Finance_Data[[#This Row],[Length_of_Stay_Days]]&lt;=7,"Medium (3-7)",TRUE,"Long (&gt;7)")</f>
        <v>Long (&gt;7)</v>
      </c>
      <c r="AA89" s="3">
        <f>EOMONTH(Merged_Clinical_Finance_Data[[#This Row],[Admission_Date]],-1)+1</f>
        <v>45748</v>
      </c>
      <c r="AB89" s="1">
        <f>Merged_Clinical_Finance_Data[[#This Row],[Daily_Bed_Cost_GBP]]*Merged_Clinical_Finance_Data[[#This Row],[Length_of_Stay_Days]]</f>
        <v>3879.9999999999995</v>
      </c>
      <c r="AC89" t="str">
        <f>IF(Merged_Clinical_Finance_Data[[#This Row],[Total_Encounter_Cost_Naira]]&gt;AVERAGE(Merged_Clinical_Finance_Data[[#This Row],[Total_Encounter_Cost_Naira]]),"High","Normal")</f>
        <v>Normal</v>
      </c>
    </row>
    <row r="90" spans="1:29" x14ac:dyDescent="0.25">
      <c r="A90" t="s">
        <v>212</v>
      </c>
      <c r="B90" t="s">
        <v>114</v>
      </c>
      <c r="C90" t="s">
        <v>115</v>
      </c>
      <c r="D90" t="s">
        <v>32</v>
      </c>
      <c r="E90" s="3">
        <v>45724</v>
      </c>
      <c r="F90" s="3">
        <v>45732</v>
      </c>
      <c r="G90">
        <v>8.1999999999999993</v>
      </c>
      <c r="H90">
        <v>77</v>
      </c>
      <c r="I90" t="s">
        <v>43</v>
      </c>
      <c r="J90" t="s">
        <v>73</v>
      </c>
      <c r="K90" t="s">
        <v>132</v>
      </c>
      <c r="L90" t="s">
        <v>161</v>
      </c>
      <c r="M90" t="s">
        <v>37</v>
      </c>
      <c r="N90" t="s">
        <v>38</v>
      </c>
      <c r="O90">
        <v>15</v>
      </c>
      <c r="P90">
        <v>30</v>
      </c>
      <c r="Q90">
        <v>0.5</v>
      </c>
      <c r="R90">
        <v>450</v>
      </c>
      <c r="S90" s="1">
        <v>3690</v>
      </c>
      <c r="T90" t="s">
        <v>84</v>
      </c>
      <c r="U90" t="s">
        <v>85</v>
      </c>
      <c r="V90" s="1">
        <v>8305.49</v>
      </c>
      <c r="W90" s="2">
        <f>Merged_Clinical_Finance_Data[[#This Row],[Occupied_Beds]]/Merged_Clinical_Finance_Data[[#This Row],[Total_Beds]]</f>
        <v>0.5</v>
      </c>
      <c r="X90">
        <f>IF(Merged_Clinical_Finance_Data[[#This Row],[30Day_Readmission]]="Yes",1,0)</f>
        <v>0</v>
      </c>
      <c r="Y90" t="str" cm="1">
        <f t="array" ref="Y9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90" t="str" cm="1">
        <f t="array" ref="Z90">_xlfn.IFS(Merged_Clinical_Finance_Data[[#This Row],[Length_of_Stay_Days]]&lt;3,"Short (&lt;3)",Merged_Clinical_Finance_Data[[#This Row],[Length_of_Stay_Days]]&lt;=7,"Medium (3-7)",TRUE,"Long (&gt;7)")</f>
        <v>Long (&gt;7)</v>
      </c>
      <c r="AA90" s="3">
        <f>EOMONTH(Merged_Clinical_Finance_Data[[#This Row],[Admission_Date]],-1)+1</f>
        <v>45717</v>
      </c>
      <c r="AB90" s="1">
        <f>Merged_Clinical_Finance_Data[[#This Row],[Daily_Bed_Cost_GBP]]*Merged_Clinical_Finance_Data[[#This Row],[Length_of_Stay_Days]]</f>
        <v>3689.9999999999995</v>
      </c>
      <c r="AC90" t="str">
        <f>IF(Merged_Clinical_Finance_Data[[#This Row],[Total_Encounter_Cost_Naira]]&gt;AVERAGE(Merged_Clinical_Finance_Data[[#This Row],[Total_Encounter_Cost_Naira]]),"High","Normal")</f>
        <v>Normal</v>
      </c>
    </row>
    <row r="91" spans="1:29" x14ac:dyDescent="0.25">
      <c r="A91" t="s">
        <v>213</v>
      </c>
      <c r="B91" t="s">
        <v>67</v>
      </c>
      <c r="C91" t="s">
        <v>68</v>
      </c>
      <c r="D91" t="s">
        <v>60</v>
      </c>
      <c r="E91" s="3">
        <v>45986</v>
      </c>
      <c r="F91" s="3">
        <v>45987</v>
      </c>
      <c r="G91">
        <v>1.4</v>
      </c>
      <c r="H91">
        <v>85</v>
      </c>
      <c r="I91" t="s">
        <v>43</v>
      </c>
      <c r="J91" t="s">
        <v>61</v>
      </c>
      <c r="K91" t="s">
        <v>69</v>
      </c>
      <c r="L91" t="s">
        <v>167</v>
      </c>
      <c r="M91" t="s">
        <v>47</v>
      </c>
      <c r="N91" t="s">
        <v>38</v>
      </c>
      <c r="O91">
        <v>24</v>
      </c>
      <c r="P91">
        <v>30</v>
      </c>
      <c r="Q91">
        <v>0.8</v>
      </c>
      <c r="R91">
        <v>400</v>
      </c>
      <c r="S91" s="1">
        <v>560</v>
      </c>
      <c r="T91" t="s">
        <v>111</v>
      </c>
      <c r="U91" t="s">
        <v>112</v>
      </c>
      <c r="V91" s="1">
        <v>913.32</v>
      </c>
      <c r="W91" s="2">
        <f>Merged_Clinical_Finance_Data[[#This Row],[Occupied_Beds]]/Merged_Clinical_Finance_Data[[#This Row],[Total_Beds]]</f>
        <v>0.8</v>
      </c>
      <c r="X91">
        <f>IF(Merged_Clinical_Finance_Data[[#This Row],[30Day_Readmission]]="Yes",1,0)</f>
        <v>0</v>
      </c>
      <c r="Y91" t="str" cm="1">
        <f t="array" ref="Y9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91" t="str" cm="1">
        <f t="array" ref="Z91">_xlfn.IFS(Merged_Clinical_Finance_Data[[#This Row],[Length_of_Stay_Days]]&lt;3,"Short (&lt;3)",Merged_Clinical_Finance_Data[[#This Row],[Length_of_Stay_Days]]&lt;=7,"Medium (3-7)",TRUE,"Long (&gt;7)")</f>
        <v>Short (&lt;3)</v>
      </c>
      <c r="AA91" s="3">
        <f>EOMONTH(Merged_Clinical_Finance_Data[[#This Row],[Admission_Date]],-1)+1</f>
        <v>45962</v>
      </c>
      <c r="AB91" s="1">
        <f>Merged_Clinical_Finance_Data[[#This Row],[Daily_Bed_Cost_GBP]]*Merged_Clinical_Finance_Data[[#This Row],[Length_of_Stay_Days]]</f>
        <v>560</v>
      </c>
      <c r="AC91" t="str">
        <f>IF(Merged_Clinical_Finance_Data[[#This Row],[Total_Encounter_Cost_Naira]]&gt;AVERAGE(Merged_Clinical_Finance_Data[[#This Row],[Total_Encounter_Cost_Naira]]),"High","Normal")</f>
        <v>Normal</v>
      </c>
    </row>
    <row r="92" spans="1:29" x14ac:dyDescent="0.25">
      <c r="A92" t="s">
        <v>214</v>
      </c>
      <c r="B92" t="s">
        <v>67</v>
      </c>
      <c r="C92" t="s">
        <v>68</v>
      </c>
      <c r="D92" t="s">
        <v>42</v>
      </c>
      <c r="E92" s="3">
        <v>45964</v>
      </c>
      <c r="F92" s="3">
        <v>45965</v>
      </c>
      <c r="G92">
        <v>1.3</v>
      </c>
      <c r="H92">
        <v>83</v>
      </c>
      <c r="I92" t="s">
        <v>43</v>
      </c>
      <c r="J92" t="s">
        <v>34</v>
      </c>
      <c r="K92" t="s">
        <v>76</v>
      </c>
      <c r="L92" t="s">
        <v>77</v>
      </c>
      <c r="M92" t="s">
        <v>74</v>
      </c>
      <c r="N92" t="s">
        <v>38</v>
      </c>
      <c r="O92">
        <v>27</v>
      </c>
      <c r="P92">
        <v>30</v>
      </c>
      <c r="Q92">
        <v>0.9</v>
      </c>
      <c r="R92">
        <v>510</v>
      </c>
      <c r="S92" s="1">
        <v>663</v>
      </c>
      <c r="T92" t="s">
        <v>64</v>
      </c>
      <c r="U92" t="s">
        <v>65</v>
      </c>
      <c r="V92" s="1">
        <v>1527.94</v>
      </c>
      <c r="W92" s="2">
        <f>Merged_Clinical_Finance_Data[[#This Row],[Occupied_Beds]]/Merged_Clinical_Finance_Data[[#This Row],[Total_Beds]]</f>
        <v>0.9</v>
      </c>
      <c r="X92">
        <f>IF(Merged_Clinical_Finance_Data[[#This Row],[30Day_Readmission]]="Yes",1,0)</f>
        <v>0</v>
      </c>
      <c r="Y92" t="str" cm="1">
        <f t="array" ref="Y9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92" t="str" cm="1">
        <f t="array" ref="Z92">_xlfn.IFS(Merged_Clinical_Finance_Data[[#This Row],[Length_of_Stay_Days]]&lt;3,"Short (&lt;3)",Merged_Clinical_Finance_Data[[#This Row],[Length_of_Stay_Days]]&lt;=7,"Medium (3-7)",TRUE,"Long (&gt;7)")</f>
        <v>Short (&lt;3)</v>
      </c>
      <c r="AA92" s="3">
        <f>EOMONTH(Merged_Clinical_Finance_Data[[#This Row],[Admission_Date]],-1)+1</f>
        <v>45962</v>
      </c>
      <c r="AB92" s="1">
        <f>Merged_Clinical_Finance_Data[[#This Row],[Daily_Bed_Cost_GBP]]*Merged_Clinical_Finance_Data[[#This Row],[Length_of_Stay_Days]]</f>
        <v>663</v>
      </c>
      <c r="AC92" t="str">
        <f>IF(Merged_Clinical_Finance_Data[[#This Row],[Total_Encounter_Cost_Naira]]&gt;AVERAGE(Merged_Clinical_Finance_Data[[#This Row],[Total_Encounter_Cost_Naira]]),"High","Normal")</f>
        <v>Normal</v>
      </c>
    </row>
    <row r="93" spans="1:29" x14ac:dyDescent="0.25">
      <c r="A93" t="s">
        <v>215</v>
      </c>
      <c r="B93" t="s">
        <v>79</v>
      </c>
      <c r="C93" t="s">
        <v>80</v>
      </c>
      <c r="D93" t="s">
        <v>32</v>
      </c>
      <c r="E93" s="3">
        <v>45744</v>
      </c>
      <c r="F93" s="3">
        <v>45746</v>
      </c>
      <c r="G93">
        <v>2.4</v>
      </c>
      <c r="H93">
        <v>44</v>
      </c>
      <c r="I93" t="s">
        <v>43</v>
      </c>
      <c r="J93" t="s">
        <v>34</v>
      </c>
      <c r="K93" t="s">
        <v>82</v>
      </c>
      <c r="L93" t="s">
        <v>88</v>
      </c>
      <c r="M93" t="s">
        <v>74</v>
      </c>
      <c r="N93" t="s">
        <v>38</v>
      </c>
      <c r="O93">
        <v>27</v>
      </c>
      <c r="P93">
        <v>30</v>
      </c>
      <c r="Q93">
        <v>0.9</v>
      </c>
      <c r="R93">
        <v>510</v>
      </c>
      <c r="S93" s="1">
        <v>1224</v>
      </c>
      <c r="T93" t="s">
        <v>84</v>
      </c>
      <c r="U93" t="s">
        <v>85</v>
      </c>
      <c r="V93" s="1">
        <v>7444.6</v>
      </c>
      <c r="W93" s="2">
        <f>Merged_Clinical_Finance_Data[[#This Row],[Occupied_Beds]]/Merged_Clinical_Finance_Data[[#This Row],[Total_Beds]]</f>
        <v>0.9</v>
      </c>
      <c r="X93">
        <f>IF(Merged_Clinical_Finance_Data[[#This Row],[30Day_Readmission]]="Yes",1,0)</f>
        <v>0</v>
      </c>
      <c r="Y93" t="str" cm="1">
        <f t="array" ref="Y9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93" t="str" cm="1">
        <f t="array" ref="Z93">_xlfn.IFS(Merged_Clinical_Finance_Data[[#This Row],[Length_of_Stay_Days]]&lt;3,"Short (&lt;3)",Merged_Clinical_Finance_Data[[#This Row],[Length_of_Stay_Days]]&lt;=7,"Medium (3-7)",TRUE,"Long (&gt;7)")</f>
        <v>Short (&lt;3)</v>
      </c>
      <c r="AA93" s="3">
        <f>EOMONTH(Merged_Clinical_Finance_Data[[#This Row],[Admission_Date]],-1)+1</f>
        <v>45717</v>
      </c>
      <c r="AB93" s="1">
        <f>Merged_Clinical_Finance_Data[[#This Row],[Daily_Bed_Cost_GBP]]*Merged_Clinical_Finance_Data[[#This Row],[Length_of_Stay_Days]]</f>
        <v>1224</v>
      </c>
      <c r="AC93" t="str">
        <f>IF(Merged_Clinical_Finance_Data[[#This Row],[Total_Encounter_Cost_Naira]]&gt;AVERAGE(Merged_Clinical_Finance_Data[[#This Row],[Total_Encounter_Cost_Naira]]),"High","Normal")</f>
        <v>Normal</v>
      </c>
    </row>
    <row r="94" spans="1:29" x14ac:dyDescent="0.25">
      <c r="A94" t="s">
        <v>216</v>
      </c>
      <c r="B94" t="s">
        <v>67</v>
      </c>
      <c r="C94" t="s">
        <v>68</v>
      </c>
      <c r="D94" t="s">
        <v>32</v>
      </c>
      <c r="E94" s="3">
        <v>45800</v>
      </c>
      <c r="F94" s="3">
        <v>45804</v>
      </c>
      <c r="G94">
        <v>4.9000000000000004</v>
      </c>
      <c r="H94">
        <v>40</v>
      </c>
      <c r="I94" t="s">
        <v>43</v>
      </c>
      <c r="J94" t="s">
        <v>61</v>
      </c>
      <c r="K94" t="s">
        <v>69</v>
      </c>
      <c r="L94" t="s">
        <v>70</v>
      </c>
      <c r="M94" t="s">
        <v>37</v>
      </c>
      <c r="N94" t="s">
        <v>38</v>
      </c>
      <c r="O94">
        <v>20</v>
      </c>
      <c r="P94">
        <v>30</v>
      </c>
      <c r="Q94">
        <v>0.66669999999999996</v>
      </c>
      <c r="R94">
        <v>425</v>
      </c>
      <c r="S94" s="1">
        <v>2082.5</v>
      </c>
      <c r="T94" t="s">
        <v>89</v>
      </c>
      <c r="U94" t="s">
        <v>90</v>
      </c>
      <c r="V94" s="1">
        <v>3985.07</v>
      </c>
      <c r="W94" s="2">
        <f>Merged_Clinical_Finance_Data[[#This Row],[Occupied_Beds]]/Merged_Clinical_Finance_Data[[#This Row],[Total_Beds]]</f>
        <v>0.66666666666666663</v>
      </c>
      <c r="X94">
        <f>IF(Merged_Clinical_Finance_Data[[#This Row],[30Day_Readmission]]="Yes",1,0)</f>
        <v>0</v>
      </c>
      <c r="Y94" t="str" cm="1">
        <f t="array" ref="Y9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94" t="str" cm="1">
        <f t="array" ref="Z94">_xlfn.IFS(Merged_Clinical_Finance_Data[[#This Row],[Length_of_Stay_Days]]&lt;3,"Short (&lt;3)",Merged_Clinical_Finance_Data[[#This Row],[Length_of_Stay_Days]]&lt;=7,"Medium (3-7)",TRUE,"Long (&gt;7)")</f>
        <v>Medium (3-7)</v>
      </c>
      <c r="AA94" s="3">
        <f>EOMONTH(Merged_Clinical_Finance_Data[[#This Row],[Admission_Date]],-1)+1</f>
        <v>45778</v>
      </c>
      <c r="AB94" s="1">
        <f>Merged_Clinical_Finance_Data[[#This Row],[Daily_Bed_Cost_GBP]]*Merged_Clinical_Finance_Data[[#This Row],[Length_of_Stay_Days]]</f>
        <v>2082.5</v>
      </c>
      <c r="AC94" t="str">
        <f>IF(Merged_Clinical_Finance_Data[[#This Row],[Total_Encounter_Cost_Naira]]&gt;AVERAGE(Merged_Clinical_Finance_Data[[#This Row],[Total_Encounter_Cost_Naira]]),"High","Normal")</f>
        <v>Normal</v>
      </c>
    </row>
    <row r="95" spans="1:29" x14ac:dyDescent="0.25">
      <c r="A95" t="s">
        <v>217</v>
      </c>
      <c r="B95" t="s">
        <v>107</v>
      </c>
      <c r="C95" t="s">
        <v>108</v>
      </c>
      <c r="D95" t="s">
        <v>42</v>
      </c>
      <c r="E95" s="3">
        <v>45665</v>
      </c>
      <c r="F95" s="3">
        <v>45671</v>
      </c>
      <c r="G95">
        <v>6.6</v>
      </c>
      <c r="H95">
        <v>34</v>
      </c>
      <c r="I95" t="s">
        <v>43</v>
      </c>
      <c r="J95" t="s">
        <v>61</v>
      </c>
      <c r="K95" t="s">
        <v>109</v>
      </c>
      <c r="L95" t="s">
        <v>129</v>
      </c>
      <c r="M95" t="s">
        <v>54</v>
      </c>
      <c r="N95" t="s">
        <v>38</v>
      </c>
      <c r="O95">
        <v>28</v>
      </c>
      <c r="P95">
        <v>30</v>
      </c>
      <c r="Q95">
        <v>0.93330000000000002</v>
      </c>
      <c r="R95">
        <v>510</v>
      </c>
      <c r="S95" s="1">
        <v>3366</v>
      </c>
      <c r="T95" t="s">
        <v>136</v>
      </c>
      <c r="U95" t="s">
        <v>137</v>
      </c>
      <c r="V95" s="1">
        <v>4103.0600000000004</v>
      </c>
      <c r="W95" s="2">
        <f>Merged_Clinical_Finance_Data[[#This Row],[Occupied_Beds]]/Merged_Clinical_Finance_Data[[#This Row],[Total_Beds]]</f>
        <v>0.93333333333333335</v>
      </c>
      <c r="X95">
        <f>IF(Merged_Clinical_Finance_Data[[#This Row],[30Day_Readmission]]="Yes",1,0)</f>
        <v>0</v>
      </c>
      <c r="Y95" t="str" cm="1">
        <f t="array" ref="Y9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95" t="str" cm="1">
        <f t="array" ref="Z95">_xlfn.IFS(Merged_Clinical_Finance_Data[[#This Row],[Length_of_Stay_Days]]&lt;3,"Short (&lt;3)",Merged_Clinical_Finance_Data[[#This Row],[Length_of_Stay_Days]]&lt;=7,"Medium (3-7)",TRUE,"Long (&gt;7)")</f>
        <v>Medium (3-7)</v>
      </c>
      <c r="AA95" s="3">
        <f>EOMONTH(Merged_Clinical_Finance_Data[[#This Row],[Admission_Date]],-1)+1</f>
        <v>45658</v>
      </c>
      <c r="AB95" s="1">
        <f>Merged_Clinical_Finance_Data[[#This Row],[Daily_Bed_Cost_GBP]]*Merged_Clinical_Finance_Data[[#This Row],[Length_of_Stay_Days]]</f>
        <v>3366</v>
      </c>
      <c r="AC95" t="str">
        <f>IF(Merged_Clinical_Finance_Data[[#This Row],[Total_Encounter_Cost_Naira]]&gt;AVERAGE(Merged_Clinical_Finance_Data[[#This Row],[Total_Encounter_Cost_Naira]]),"High","Normal")</f>
        <v>Normal</v>
      </c>
    </row>
    <row r="96" spans="1:29" x14ac:dyDescent="0.25">
      <c r="A96" t="s">
        <v>218</v>
      </c>
      <c r="B96" t="s">
        <v>67</v>
      </c>
      <c r="C96" t="s">
        <v>68</v>
      </c>
      <c r="D96" t="s">
        <v>42</v>
      </c>
      <c r="E96" s="3">
        <v>45757</v>
      </c>
      <c r="F96" s="3">
        <v>45758</v>
      </c>
      <c r="G96">
        <v>1.9</v>
      </c>
      <c r="H96">
        <v>83</v>
      </c>
      <c r="I96" t="s">
        <v>33</v>
      </c>
      <c r="J96" t="s">
        <v>44</v>
      </c>
      <c r="K96" t="s">
        <v>76</v>
      </c>
      <c r="L96" t="s">
        <v>176</v>
      </c>
      <c r="M96" t="s">
        <v>47</v>
      </c>
      <c r="N96" t="s">
        <v>71</v>
      </c>
      <c r="O96">
        <v>28</v>
      </c>
      <c r="P96">
        <v>30</v>
      </c>
      <c r="Q96">
        <v>0.93330000000000002</v>
      </c>
      <c r="R96">
        <v>480</v>
      </c>
      <c r="S96" s="1">
        <v>912</v>
      </c>
      <c r="T96" t="s">
        <v>136</v>
      </c>
      <c r="U96" t="s">
        <v>137</v>
      </c>
      <c r="V96" s="1">
        <v>2697.32</v>
      </c>
      <c r="W96" s="2">
        <f>Merged_Clinical_Finance_Data[[#This Row],[Occupied_Beds]]/Merged_Clinical_Finance_Data[[#This Row],[Total_Beds]]</f>
        <v>0.93333333333333335</v>
      </c>
      <c r="X96">
        <f>IF(Merged_Clinical_Finance_Data[[#This Row],[30Day_Readmission]]="Yes",1,0)</f>
        <v>1</v>
      </c>
      <c r="Y96" t="str" cm="1">
        <f t="array" ref="Y9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96" t="str" cm="1">
        <f t="array" ref="Z96">_xlfn.IFS(Merged_Clinical_Finance_Data[[#This Row],[Length_of_Stay_Days]]&lt;3,"Short (&lt;3)",Merged_Clinical_Finance_Data[[#This Row],[Length_of_Stay_Days]]&lt;=7,"Medium (3-7)",TRUE,"Long (&gt;7)")</f>
        <v>Short (&lt;3)</v>
      </c>
      <c r="AA96" s="3">
        <f>EOMONTH(Merged_Clinical_Finance_Data[[#This Row],[Admission_Date]],-1)+1</f>
        <v>45748</v>
      </c>
      <c r="AB96" s="1">
        <f>Merged_Clinical_Finance_Data[[#This Row],[Daily_Bed_Cost_GBP]]*Merged_Clinical_Finance_Data[[#This Row],[Length_of_Stay_Days]]</f>
        <v>912</v>
      </c>
      <c r="AC96" t="str">
        <f>IF(Merged_Clinical_Finance_Data[[#This Row],[Total_Encounter_Cost_Naira]]&gt;AVERAGE(Merged_Clinical_Finance_Data[[#This Row],[Total_Encounter_Cost_Naira]]),"High","Normal")</f>
        <v>Normal</v>
      </c>
    </row>
    <row r="97" spans="1:29" x14ac:dyDescent="0.25">
      <c r="A97" t="s">
        <v>219</v>
      </c>
      <c r="B97" t="s">
        <v>30</v>
      </c>
      <c r="C97" t="s">
        <v>31</v>
      </c>
      <c r="D97" t="s">
        <v>32</v>
      </c>
      <c r="E97" s="3">
        <v>45659</v>
      </c>
      <c r="F97" s="3">
        <v>45665</v>
      </c>
      <c r="G97">
        <v>6.3</v>
      </c>
      <c r="H97">
        <v>65</v>
      </c>
      <c r="I97" t="s">
        <v>43</v>
      </c>
      <c r="J97" t="s">
        <v>34</v>
      </c>
      <c r="K97" t="s">
        <v>35</v>
      </c>
      <c r="L97" t="s">
        <v>36</v>
      </c>
      <c r="M97" t="s">
        <v>74</v>
      </c>
      <c r="N97" t="s">
        <v>38</v>
      </c>
      <c r="O97">
        <v>12</v>
      </c>
      <c r="P97">
        <v>30</v>
      </c>
      <c r="Q97">
        <v>0.4</v>
      </c>
      <c r="R97">
        <v>480</v>
      </c>
      <c r="S97" s="1">
        <v>3024</v>
      </c>
      <c r="T97" t="s">
        <v>111</v>
      </c>
      <c r="U97" t="s">
        <v>112</v>
      </c>
      <c r="V97" s="1">
        <v>2723.29</v>
      </c>
      <c r="W97" s="2">
        <f>Merged_Clinical_Finance_Data[[#This Row],[Occupied_Beds]]/Merged_Clinical_Finance_Data[[#This Row],[Total_Beds]]</f>
        <v>0.4</v>
      </c>
      <c r="X97">
        <f>IF(Merged_Clinical_Finance_Data[[#This Row],[30Day_Readmission]]="Yes",1,0)</f>
        <v>0</v>
      </c>
      <c r="Y97" t="str" cm="1">
        <f t="array" ref="Y9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97" t="str" cm="1">
        <f t="array" ref="Z97">_xlfn.IFS(Merged_Clinical_Finance_Data[[#This Row],[Length_of_Stay_Days]]&lt;3,"Short (&lt;3)",Merged_Clinical_Finance_Data[[#This Row],[Length_of_Stay_Days]]&lt;=7,"Medium (3-7)",TRUE,"Long (&gt;7)")</f>
        <v>Medium (3-7)</v>
      </c>
      <c r="AA97" s="3">
        <f>EOMONTH(Merged_Clinical_Finance_Data[[#This Row],[Admission_Date]],-1)+1</f>
        <v>45658</v>
      </c>
      <c r="AB97" s="1">
        <f>Merged_Clinical_Finance_Data[[#This Row],[Daily_Bed_Cost_GBP]]*Merged_Clinical_Finance_Data[[#This Row],[Length_of_Stay_Days]]</f>
        <v>3024</v>
      </c>
      <c r="AC97" t="str">
        <f>IF(Merged_Clinical_Finance_Data[[#This Row],[Total_Encounter_Cost_Naira]]&gt;AVERAGE(Merged_Clinical_Finance_Data[[#This Row],[Total_Encounter_Cost_Naira]]),"High","Normal")</f>
        <v>Normal</v>
      </c>
    </row>
    <row r="98" spans="1:29" x14ac:dyDescent="0.25">
      <c r="A98" t="s">
        <v>220</v>
      </c>
      <c r="B98" t="s">
        <v>49</v>
      </c>
      <c r="C98" t="s">
        <v>50</v>
      </c>
      <c r="D98" t="s">
        <v>42</v>
      </c>
      <c r="E98" s="3">
        <v>45782</v>
      </c>
      <c r="F98" s="3">
        <v>45790</v>
      </c>
      <c r="G98">
        <v>8.6999999999999993</v>
      </c>
      <c r="H98">
        <v>44</v>
      </c>
      <c r="I98" t="s">
        <v>43</v>
      </c>
      <c r="J98" t="s">
        <v>61</v>
      </c>
      <c r="K98" t="s">
        <v>52</v>
      </c>
      <c r="L98" t="s">
        <v>53</v>
      </c>
      <c r="M98" t="s">
        <v>47</v>
      </c>
      <c r="N98" t="s">
        <v>38</v>
      </c>
      <c r="O98">
        <v>24</v>
      </c>
      <c r="P98">
        <v>30</v>
      </c>
      <c r="Q98">
        <v>0.8</v>
      </c>
      <c r="R98">
        <v>375</v>
      </c>
      <c r="S98" s="1">
        <v>3262.5</v>
      </c>
      <c r="T98" t="s">
        <v>55</v>
      </c>
      <c r="U98" t="s">
        <v>56</v>
      </c>
      <c r="V98" s="1">
        <v>313.52</v>
      </c>
      <c r="W98" s="2">
        <f>Merged_Clinical_Finance_Data[[#This Row],[Occupied_Beds]]/Merged_Clinical_Finance_Data[[#This Row],[Total_Beds]]</f>
        <v>0.8</v>
      </c>
      <c r="X98">
        <f>IF(Merged_Clinical_Finance_Data[[#This Row],[30Day_Readmission]]="Yes",1,0)</f>
        <v>0</v>
      </c>
      <c r="Y98" t="str" cm="1">
        <f t="array" ref="Y9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98" t="str" cm="1">
        <f t="array" ref="Z98">_xlfn.IFS(Merged_Clinical_Finance_Data[[#This Row],[Length_of_Stay_Days]]&lt;3,"Short (&lt;3)",Merged_Clinical_Finance_Data[[#This Row],[Length_of_Stay_Days]]&lt;=7,"Medium (3-7)",TRUE,"Long (&gt;7)")</f>
        <v>Long (&gt;7)</v>
      </c>
      <c r="AA98" s="3">
        <f>EOMONTH(Merged_Clinical_Finance_Data[[#This Row],[Admission_Date]],-1)+1</f>
        <v>45778</v>
      </c>
      <c r="AB98" s="1">
        <f>Merged_Clinical_Finance_Data[[#This Row],[Daily_Bed_Cost_GBP]]*Merged_Clinical_Finance_Data[[#This Row],[Length_of_Stay_Days]]</f>
        <v>3262.4999999999995</v>
      </c>
      <c r="AC98" t="str">
        <f>IF(Merged_Clinical_Finance_Data[[#This Row],[Total_Encounter_Cost_Naira]]&gt;AVERAGE(Merged_Clinical_Finance_Data[[#This Row],[Total_Encounter_Cost_Naira]]),"High","Normal")</f>
        <v>Normal</v>
      </c>
    </row>
    <row r="99" spans="1:29" x14ac:dyDescent="0.25">
      <c r="A99" t="s">
        <v>221</v>
      </c>
      <c r="B99" t="s">
        <v>58</v>
      </c>
      <c r="C99" t="s">
        <v>59</v>
      </c>
      <c r="D99" t="s">
        <v>42</v>
      </c>
      <c r="E99" s="3">
        <v>45687</v>
      </c>
      <c r="F99" s="3">
        <v>45690</v>
      </c>
      <c r="G99">
        <v>3.1</v>
      </c>
      <c r="H99">
        <v>28</v>
      </c>
      <c r="I99" t="s">
        <v>33</v>
      </c>
      <c r="J99" t="s">
        <v>51</v>
      </c>
      <c r="K99" t="s">
        <v>95</v>
      </c>
      <c r="L99" t="s">
        <v>63</v>
      </c>
      <c r="M99" t="s">
        <v>47</v>
      </c>
      <c r="N99" t="s">
        <v>38</v>
      </c>
      <c r="O99">
        <v>25</v>
      </c>
      <c r="P99">
        <v>30</v>
      </c>
      <c r="Q99">
        <v>0.83330000000000004</v>
      </c>
      <c r="R99">
        <v>450</v>
      </c>
      <c r="S99" s="1">
        <v>1395</v>
      </c>
      <c r="T99" t="s">
        <v>39</v>
      </c>
      <c r="U99" t="s">
        <v>40</v>
      </c>
      <c r="V99" s="1">
        <v>1607.6</v>
      </c>
      <c r="W99" s="2">
        <f>Merged_Clinical_Finance_Data[[#This Row],[Occupied_Beds]]/Merged_Clinical_Finance_Data[[#This Row],[Total_Beds]]</f>
        <v>0.83333333333333337</v>
      </c>
      <c r="X99">
        <f>IF(Merged_Clinical_Finance_Data[[#This Row],[30Day_Readmission]]="Yes",1,0)</f>
        <v>0</v>
      </c>
      <c r="Y99" t="str" cm="1">
        <f t="array" ref="Y9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99" t="str" cm="1">
        <f t="array" ref="Z99">_xlfn.IFS(Merged_Clinical_Finance_Data[[#This Row],[Length_of_Stay_Days]]&lt;3,"Short (&lt;3)",Merged_Clinical_Finance_Data[[#This Row],[Length_of_Stay_Days]]&lt;=7,"Medium (3-7)",TRUE,"Long (&gt;7)")</f>
        <v>Medium (3-7)</v>
      </c>
      <c r="AA99" s="3">
        <f>EOMONTH(Merged_Clinical_Finance_Data[[#This Row],[Admission_Date]],-1)+1</f>
        <v>45658</v>
      </c>
      <c r="AB99" s="1">
        <f>Merged_Clinical_Finance_Data[[#This Row],[Daily_Bed_Cost_GBP]]*Merged_Clinical_Finance_Data[[#This Row],[Length_of_Stay_Days]]</f>
        <v>1395</v>
      </c>
      <c r="AC99" t="str">
        <f>IF(Merged_Clinical_Finance_Data[[#This Row],[Total_Encounter_Cost_Naira]]&gt;AVERAGE(Merged_Clinical_Finance_Data[[#This Row],[Total_Encounter_Cost_Naira]]),"High","Normal")</f>
        <v>Normal</v>
      </c>
    </row>
    <row r="100" spans="1:29" x14ac:dyDescent="0.25">
      <c r="A100" t="s">
        <v>222</v>
      </c>
      <c r="B100" t="s">
        <v>114</v>
      </c>
      <c r="C100" t="s">
        <v>115</v>
      </c>
      <c r="D100" t="s">
        <v>60</v>
      </c>
      <c r="E100" s="3">
        <v>45700</v>
      </c>
      <c r="F100" s="3">
        <v>45711</v>
      </c>
      <c r="G100">
        <v>11.8</v>
      </c>
      <c r="H100">
        <v>80</v>
      </c>
      <c r="I100" t="s">
        <v>43</v>
      </c>
      <c r="J100" t="s">
        <v>51</v>
      </c>
      <c r="K100" t="s">
        <v>116</v>
      </c>
      <c r="L100" t="s">
        <v>223</v>
      </c>
      <c r="M100" t="s">
        <v>54</v>
      </c>
      <c r="N100" t="s">
        <v>38</v>
      </c>
      <c r="O100">
        <v>28</v>
      </c>
      <c r="P100">
        <v>30</v>
      </c>
      <c r="Q100">
        <v>0.93330000000000002</v>
      </c>
      <c r="R100">
        <v>375</v>
      </c>
      <c r="S100" s="1">
        <v>4425</v>
      </c>
      <c r="T100" t="s">
        <v>39</v>
      </c>
      <c r="U100" t="s">
        <v>40</v>
      </c>
      <c r="V100" s="1">
        <v>2906.48</v>
      </c>
      <c r="W100" s="2">
        <f>Merged_Clinical_Finance_Data[[#This Row],[Occupied_Beds]]/Merged_Clinical_Finance_Data[[#This Row],[Total_Beds]]</f>
        <v>0.93333333333333335</v>
      </c>
      <c r="X100">
        <f>IF(Merged_Clinical_Finance_Data[[#This Row],[30Day_Readmission]]="Yes",1,0)</f>
        <v>0</v>
      </c>
      <c r="Y100" t="str" cm="1">
        <f t="array" ref="Y10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100" t="str" cm="1">
        <f t="array" ref="Z100">_xlfn.IFS(Merged_Clinical_Finance_Data[[#This Row],[Length_of_Stay_Days]]&lt;3,"Short (&lt;3)",Merged_Clinical_Finance_Data[[#This Row],[Length_of_Stay_Days]]&lt;=7,"Medium (3-7)",TRUE,"Long (&gt;7)")</f>
        <v>Long (&gt;7)</v>
      </c>
      <c r="AA100" s="3">
        <f>EOMONTH(Merged_Clinical_Finance_Data[[#This Row],[Admission_Date]],-1)+1</f>
        <v>45689</v>
      </c>
      <c r="AB100" s="1">
        <f>Merged_Clinical_Finance_Data[[#This Row],[Daily_Bed_Cost_GBP]]*Merged_Clinical_Finance_Data[[#This Row],[Length_of_Stay_Days]]</f>
        <v>4425</v>
      </c>
      <c r="AC100" t="str">
        <f>IF(Merged_Clinical_Finance_Data[[#This Row],[Total_Encounter_Cost_Naira]]&gt;AVERAGE(Merged_Clinical_Finance_Data[[#This Row],[Total_Encounter_Cost_Naira]]),"High","Normal")</f>
        <v>Normal</v>
      </c>
    </row>
    <row r="101" spans="1:29" x14ac:dyDescent="0.25">
      <c r="A101" t="s">
        <v>224</v>
      </c>
      <c r="B101" t="s">
        <v>114</v>
      </c>
      <c r="C101" t="s">
        <v>115</v>
      </c>
      <c r="D101" t="s">
        <v>32</v>
      </c>
      <c r="E101" s="3">
        <v>45759</v>
      </c>
      <c r="F101" s="3">
        <v>45770</v>
      </c>
      <c r="G101">
        <v>11.5</v>
      </c>
      <c r="H101">
        <v>60</v>
      </c>
      <c r="I101" t="s">
        <v>33</v>
      </c>
      <c r="J101" t="s">
        <v>61</v>
      </c>
      <c r="K101" t="s">
        <v>132</v>
      </c>
      <c r="L101" t="s">
        <v>161</v>
      </c>
      <c r="M101" t="s">
        <v>54</v>
      </c>
      <c r="N101" t="s">
        <v>38</v>
      </c>
      <c r="O101">
        <v>19</v>
      </c>
      <c r="P101">
        <v>30</v>
      </c>
      <c r="Q101">
        <v>0.63329999999999997</v>
      </c>
      <c r="R101">
        <v>375</v>
      </c>
      <c r="S101" s="1">
        <v>4312.5</v>
      </c>
      <c r="T101" t="s">
        <v>111</v>
      </c>
      <c r="U101" t="s">
        <v>112</v>
      </c>
      <c r="V101" s="1">
        <v>1935.71</v>
      </c>
      <c r="W101" s="2">
        <f>Merged_Clinical_Finance_Data[[#This Row],[Occupied_Beds]]/Merged_Clinical_Finance_Data[[#This Row],[Total_Beds]]</f>
        <v>0.6333333333333333</v>
      </c>
      <c r="X101">
        <f>IF(Merged_Clinical_Finance_Data[[#This Row],[30Day_Readmission]]="Yes",1,0)</f>
        <v>0</v>
      </c>
      <c r="Y101" t="str" cm="1">
        <f t="array" ref="Y10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01" t="str" cm="1">
        <f t="array" ref="Z101">_xlfn.IFS(Merged_Clinical_Finance_Data[[#This Row],[Length_of_Stay_Days]]&lt;3,"Short (&lt;3)",Merged_Clinical_Finance_Data[[#This Row],[Length_of_Stay_Days]]&lt;=7,"Medium (3-7)",TRUE,"Long (&gt;7)")</f>
        <v>Long (&gt;7)</v>
      </c>
      <c r="AA101" s="3">
        <f>EOMONTH(Merged_Clinical_Finance_Data[[#This Row],[Admission_Date]],-1)+1</f>
        <v>45748</v>
      </c>
      <c r="AB101" s="1">
        <f>Merged_Clinical_Finance_Data[[#This Row],[Daily_Bed_Cost_GBP]]*Merged_Clinical_Finance_Data[[#This Row],[Length_of_Stay_Days]]</f>
        <v>4312.5</v>
      </c>
      <c r="AC101" t="str">
        <f>IF(Merged_Clinical_Finance_Data[[#This Row],[Total_Encounter_Cost_Naira]]&gt;AVERAGE(Merged_Clinical_Finance_Data[[#This Row],[Total_Encounter_Cost_Naira]]),"High","Normal")</f>
        <v>Normal</v>
      </c>
    </row>
    <row r="102" spans="1:29" x14ac:dyDescent="0.25">
      <c r="A102" t="s">
        <v>225</v>
      </c>
      <c r="B102" t="s">
        <v>67</v>
      </c>
      <c r="C102" t="s">
        <v>68</v>
      </c>
      <c r="D102" t="s">
        <v>32</v>
      </c>
      <c r="E102" s="3">
        <v>45895</v>
      </c>
      <c r="F102" s="3">
        <v>45898</v>
      </c>
      <c r="G102">
        <v>3.9</v>
      </c>
      <c r="H102">
        <v>66</v>
      </c>
      <c r="I102" t="s">
        <v>43</v>
      </c>
      <c r="J102" t="s">
        <v>51</v>
      </c>
      <c r="K102" t="s">
        <v>76</v>
      </c>
      <c r="L102" t="s">
        <v>77</v>
      </c>
      <c r="M102" t="s">
        <v>54</v>
      </c>
      <c r="N102" t="s">
        <v>38</v>
      </c>
      <c r="O102">
        <v>29</v>
      </c>
      <c r="P102">
        <v>30</v>
      </c>
      <c r="Q102">
        <v>0.9667</v>
      </c>
      <c r="R102">
        <v>450</v>
      </c>
      <c r="S102" s="1">
        <v>1755</v>
      </c>
      <c r="T102" t="s">
        <v>39</v>
      </c>
      <c r="U102" t="s">
        <v>40</v>
      </c>
      <c r="V102" s="1">
        <v>3664.45</v>
      </c>
      <c r="W102" s="2">
        <f>Merged_Clinical_Finance_Data[[#This Row],[Occupied_Beds]]/Merged_Clinical_Finance_Data[[#This Row],[Total_Beds]]</f>
        <v>0.96666666666666667</v>
      </c>
      <c r="X102">
        <f>IF(Merged_Clinical_Finance_Data[[#This Row],[30Day_Readmission]]="Yes",1,0)</f>
        <v>0</v>
      </c>
      <c r="Y102" t="str" cm="1">
        <f t="array" ref="Y10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02" t="str" cm="1">
        <f t="array" ref="Z102">_xlfn.IFS(Merged_Clinical_Finance_Data[[#This Row],[Length_of_Stay_Days]]&lt;3,"Short (&lt;3)",Merged_Clinical_Finance_Data[[#This Row],[Length_of_Stay_Days]]&lt;=7,"Medium (3-7)",TRUE,"Long (&gt;7)")</f>
        <v>Medium (3-7)</v>
      </c>
      <c r="AA102" s="3">
        <f>EOMONTH(Merged_Clinical_Finance_Data[[#This Row],[Admission_Date]],-1)+1</f>
        <v>45870</v>
      </c>
      <c r="AB102" s="1">
        <f>Merged_Clinical_Finance_Data[[#This Row],[Daily_Bed_Cost_GBP]]*Merged_Clinical_Finance_Data[[#This Row],[Length_of_Stay_Days]]</f>
        <v>1755</v>
      </c>
      <c r="AC102" t="str">
        <f>IF(Merged_Clinical_Finance_Data[[#This Row],[Total_Encounter_Cost_Naira]]&gt;AVERAGE(Merged_Clinical_Finance_Data[[#This Row],[Total_Encounter_Cost_Naira]]),"High","Normal")</f>
        <v>Normal</v>
      </c>
    </row>
    <row r="103" spans="1:29" x14ac:dyDescent="0.25">
      <c r="A103" t="s">
        <v>226</v>
      </c>
      <c r="B103" t="s">
        <v>107</v>
      </c>
      <c r="C103" t="s">
        <v>108</v>
      </c>
      <c r="D103" t="s">
        <v>32</v>
      </c>
      <c r="E103" s="3">
        <v>46005</v>
      </c>
      <c r="F103" s="3">
        <v>46012</v>
      </c>
      <c r="G103">
        <v>7.3</v>
      </c>
      <c r="H103">
        <v>45</v>
      </c>
      <c r="I103" t="s">
        <v>33</v>
      </c>
      <c r="J103" t="s">
        <v>44</v>
      </c>
      <c r="K103" t="s">
        <v>158</v>
      </c>
      <c r="L103" t="s">
        <v>110</v>
      </c>
      <c r="M103" t="s">
        <v>47</v>
      </c>
      <c r="N103" t="s">
        <v>38</v>
      </c>
      <c r="O103">
        <v>19</v>
      </c>
      <c r="P103">
        <v>30</v>
      </c>
      <c r="Q103">
        <v>0.63329999999999997</v>
      </c>
      <c r="R103">
        <v>375</v>
      </c>
      <c r="S103" s="1">
        <v>2737.5</v>
      </c>
      <c r="T103" t="s">
        <v>39</v>
      </c>
      <c r="U103" t="s">
        <v>40</v>
      </c>
      <c r="V103" s="1">
        <v>3502.98</v>
      </c>
      <c r="W103" s="2">
        <f>Merged_Clinical_Finance_Data[[#This Row],[Occupied_Beds]]/Merged_Clinical_Finance_Data[[#This Row],[Total_Beds]]</f>
        <v>0.6333333333333333</v>
      </c>
      <c r="X103">
        <f>IF(Merged_Clinical_Finance_Data[[#This Row],[30Day_Readmission]]="Yes",1,0)</f>
        <v>0</v>
      </c>
      <c r="Y103" t="str" cm="1">
        <f t="array" ref="Y10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03" t="str" cm="1">
        <f t="array" ref="Z103">_xlfn.IFS(Merged_Clinical_Finance_Data[[#This Row],[Length_of_Stay_Days]]&lt;3,"Short (&lt;3)",Merged_Clinical_Finance_Data[[#This Row],[Length_of_Stay_Days]]&lt;=7,"Medium (3-7)",TRUE,"Long (&gt;7)")</f>
        <v>Long (&gt;7)</v>
      </c>
      <c r="AA103" s="3">
        <f>EOMONTH(Merged_Clinical_Finance_Data[[#This Row],[Admission_Date]],-1)+1</f>
        <v>45992</v>
      </c>
      <c r="AB103" s="1">
        <f>Merged_Clinical_Finance_Data[[#This Row],[Daily_Bed_Cost_GBP]]*Merged_Clinical_Finance_Data[[#This Row],[Length_of_Stay_Days]]</f>
        <v>2737.5</v>
      </c>
      <c r="AC103" t="str">
        <f>IF(Merged_Clinical_Finance_Data[[#This Row],[Total_Encounter_Cost_Naira]]&gt;AVERAGE(Merged_Clinical_Finance_Data[[#This Row],[Total_Encounter_Cost_Naira]]),"High","Normal")</f>
        <v>Normal</v>
      </c>
    </row>
    <row r="104" spans="1:29" x14ac:dyDescent="0.25">
      <c r="A104" t="s">
        <v>227</v>
      </c>
      <c r="B104" t="s">
        <v>49</v>
      </c>
      <c r="C104" t="s">
        <v>50</v>
      </c>
      <c r="D104" t="s">
        <v>42</v>
      </c>
      <c r="E104" s="3">
        <v>45930</v>
      </c>
      <c r="F104" s="3">
        <v>45938</v>
      </c>
      <c r="G104">
        <v>8.1999999999999993</v>
      </c>
      <c r="H104">
        <v>46</v>
      </c>
      <c r="I104" t="s">
        <v>43</v>
      </c>
      <c r="J104" t="s">
        <v>44</v>
      </c>
      <c r="K104" t="s">
        <v>52</v>
      </c>
      <c r="L104" t="s">
        <v>53</v>
      </c>
      <c r="M104" t="s">
        <v>37</v>
      </c>
      <c r="N104" t="s">
        <v>38</v>
      </c>
      <c r="O104">
        <v>30</v>
      </c>
      <c r="P104">
        <v>30</v>
      </c>
      <c r="Q104">
        <v>1</v>
      </c>
      <c r="R104">
        <v>510</v>
      </c>
      <c r="S104" s="1">
        <v>4182</v>
      </c>
      <c r="T104" t="s">
        <v>39</v>
      </c>
      <c r="U104" t="s">
        <v>40</v>
      </c>
      <c r="V104" s="1">
        <v>1169.6099999999999</v>
      </c>
      <c r="W104" s="2">
        <f>Merged_Clinical_Finance_Data[[#This Row],[Occupied_Beds]]/Merged_Clinical_Finance_Data[[#This Row],[Total_Beds]]</f>
        <v>1</v>
      </c>
      <c r="X104">
        <f>IF(Merged_Clinical_Finance_Data[[#This Row],[30Day_Readmission]]="Yes",1,0)</f>
        <v>0</v>
      </c>
      <c r="Y104" t="str" cm="1">
        <f t="array" ref="Y10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04" t="str" cm="1">
        <f t="array" ref="Z104">_xlfn.IFS(Merged_Clinical_Finance_Data[[#This Row],[Length_of_Stay_Days]]&lt;3,"Short (&lt;3)",Merged_Clinical_Finance_Data[[#This Row],[Length_of_Stay_Days]]&lt;=7,"Medium (3-7)",TRUE,"Long (&gt;7)")</f>
        <v>Long (&gt;7)</v>
      </c>
      <c r="AA104" s="3">
        <f>EOMONTH(Merged_Clinical_Finance_Data[[#This Row],[Admission_Date]],-1)+1</f>
        <v>45901</v>
      </c>
      <c r="AB104" s="1">
        <f>Merged_Clinical_Finance_Data[[#This Row],[Daily_Bed_Cost_GBP]]*Merged_Clinical_Finance_Data[[#This Row],[Length_of_Stay_Days]]</f>
        <v>4182</v>
      </c>
      <c r="AC104" t="str">
        <f>IF(Merged_Clinical_Finance_Data[[#This Row],[Total_Encounter_Cost_Naira]]&gt;AVERAGE(Merged_Clinical_Finance_Data[[#This Row],[Total_Encounter_Cost_Naira]]),"High","Normal")</f>
        <v>Normal</v>
      </c>
    </row>
    <row r="105" spans="1:29" x14ac:dyDescent="0.25">
      <c r="A105" t="s">
        <v>228</v>
      </c>
      <c r="B105" t="s">
        <v>58</v>
      </c>
      <c r="C105" t="s">
        <v>59</v>
      </c>
      <c r="D105" t="s">
        <v>60</v>
      </c>
      <c r="E105" s="3">
        <v>45759</v>
      </c>
      <c r="F105" s="3">
        <v>45763</v>
      </c>
      <c r="G105">
        <v>4.5</v>
      </c>
      <c r="H105">
        <v>35</v>
      </c>
      <c r="I105" t="s">
        <v>33</v>
      </c>
      <c r="J105" t="s">
        <v>34</v>
      </c>
      <c r="K105" t="s">
        <v>95</v>
      </c>
      <c r="L105" t="s">
        <v>63</v>
      </c>
      <c r="M105" t="s">
        <v>47</v>
      </c>
      <c r="N105" t="s">
        <v>38</v>
      </c>
      <c r="O105">
        <v>15</v>
      </c>
      <c r="P105">
        <v>30</v>
      </c>
      <c r="Q105">
        <v>0.5</v>
      </c>
      <c r="R105">
        <v>400</v>
      </c>
      <c r="S105" s="1">
        <v>1800</v>
      </c>
      <c r="T105" t="s">
        <v>111</v>
      </c>
      <c r="U105" t="s">
        <v>112</v>
      </c>
      <c r="V105" s="1">
        <v>2466.61</v>
      </c>
      <c r="W105" s="2">
        <f>Merged_Clinical_Finance_Data[[#This Row],[Occupied_Beds]]/Merged_Clinical_Finance_Data[[#This Row],[Total_Beds]]</f>
        <v>0.5</v>
      </c>
      <c r="X105">
        <f>IF(Merged_Clinical_Finance_Data[[#This Row],[30Day_Readmission]]="Yes",1,0)</f>
        <v>0</v>
      </c>
      <c r="Y105" t="str" cm="1">
        <f t="array" ref="Y10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05" t="str" cm="1">
        <f t="array" ref="Z105">_xlfn.IFS(Merged_Clinical_Finance_Data[[#This Row],[Length_of_Stay_Days]]&lt;3,"Short (&lt;3)",Merged_Clinical_Finance_Data[[#This Row],[Length_of_Stay_Days]]&lt;=7,"Medium (3-7)",TRUE,"Long (&gt;7)")</f>
        <v>Medium (3-7)</v>
      </c>
      <c r="AA105" s="3">
        <f>EOMONTH(Merged_Clinical_Finance_Data[[#This Row],[Admission_Date]],-1)+1</f>
        <v>45748</v>
      </c>
      <c r="AB105" s="1">
        <f>Merged_Clinical_Finance_Data[[#This Row],[Daily_Bed_Cost_GBP]]*Merged_Clinical_Finance_Data[[#This Row],[Length_of_Stay_Days]]</f>
        <v>1800</v>
      </c>
      <c r="AC105" t="str">
        <f>IF(Merged_Clinical_Finance_Data[[#This Row],[Total_Encounter_Cost_Naira]]&gt;AVERAGE(Merged_Clinical_Finance_Data[[#This Row],[Total_Encounter_Cost_Naira]]),"High","Normal")</f>
        <v>Normal</v>
      </c>
    </row>
    <row r="106" spans="1:29" x14ac:dyDescent="0.25">
      <c r="A106" t="s">
        <v>229</v>
      </c>
      <c r="B106" t="s">
        <v>102</v>
      </c>
      <c r="C106" t="s">
        <v>103</v>
      </c>
      <c r="D106" t="s">
        <v>32</v>
      </c>
      <c r="E106" s="3">
        <v>45809</v>
      </c>
      <c r="F106" s="3">
        <v>45810</v>
      </c>
      <c r="G106">
        <v>1.4</v>
      </c>
      <c r="H106">
        <v>68</v>
      </c>
      <c r="I106" t="s">
        <v>43</v>
      </c>
      <c r="J106" t="s">
        <v>51</v>
      </c>
      <c r="K106" t="s">
        <v>104</v>
      </c>
      <c r="L106" t="s">
        <v>105</v>
      </c>
      <c r="M106" t="s">
        <v>37</v>
      </c>
      <c r="N106" t="s">
        <v>38</v>
      </c>
      <c r="O106">
        <v>22</v>
      </c>
      <c r="P106">
        <v>30</v>
      </c>
      <c r="Q106">
        <v>0.73329999999999995</v>
      </c>
      <c r="R106">
        <v>480</v>
      </c>
      <c r="S106" s="1">
        <v>672</v>
      </c>
      <c r="T106" t="s">
        <v>84</v>
      </c>
      <c r="U106" t="s">
        <v>85</v>
      </c>
      <c r="V106" s="1">
        <v>5730.23</v>
      </c>
      <c r="W106" s="2">
        <f>Merged_Clinical_Finance_Data[[#This Row],[Occupied_Beds]]/Merged_Clinical_Finance_Data[[#This Row],[Total_Beds]]</f>
        <v>0.73333333333333328</v>
      </c>
      <c r="X106">
        <f>IF(Merged_Clinical_Finance_Data[[#This Row],[30Day_Readmission]]="Yes",1,0)</f>
        <v>0</v>
      </c>
      <c r="Y106" t="str" cm="1">
        <f t="array" ref="Y10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06" t="str" cm="1">
        <f t="array" ref="Z106">_xlfn.IFS(Merged_Clinical_Finance_Data[[#This Row],[Length_of_Stay_Days]]&lt;3,"Short (&lt;3)",Merged_Clinical_Finance_Data[[#This Row],[Length_of_Stay_Days]]&lt;=7,"Medium (3-7)",TRUE,"Long (&gt;7)")</f>
        <v>Short (&lt;3)</v>
      </c>
      <c r="AA106" s="3">
        <f>EOMONTH(Merged_Clinical_Finance_Data[[#This Row],[Admission_Date]],-1)+1</f>
        <v>45809</v>
      </c>
      <c r="AB106" s="1">
        <f>Merged_Clinical_Finance_Data[[#This Row],[Daily_Bed_Cost_GBP]]*Merged_Clinical_Finance_Data[[#This Row],[Length_of_Stay_Days]]</f>
        <v>672</v>
      </c>
      <c r="AC106" t="str">
        <f>IF(Merged_Clinical_Finance_Data[[#This Row],[Total_Encounter_Cost_Naira]]&gt;AVERAGE(Merged_Clinical_Finance_Data[[#This Row],[Total_Encounter_Cost_Naira]]),"High","Normal")</f>
        <v>Normal</v>
      </c>
    </row>
    <row r="107" spans="1:29" x14ac:dyDescent="0.25">
      <c r="A107" t="s">
        <v>230</v>
      </c>
      <c r="B107" t="s">
        <v>114</v>
      </c>
      <c r="C107" t="s">
        <v>115</v>
      </c>
      <c r="D107" t="s">
        <v>32</v>
      </c>
      <c r="E107" s="3">
        <v>45676</v>
      </c>
      <c r="F107" s="3">
        <v>45687</v>
      </c>
      <c r="G107">
        <v>11.4</v>
      </c>
      <c r="H107">
        <v>78</v>
      </c>
      <c r="I107" t="s">
        <v>43</v>
      </c>
      <c r="J107" t="s">
        <v>51</v>
      </c>
      <c r="K107" t="s">
        <v>132</v>
      </c>
      <c r="L107" t="s">
        <v>139</v>
      </c>
      <c r="M107" t="s">
        <v>47</v>
      </c>
      <c r="N107" t="s">
        <v>38</v>
      </c>
      <c r="O107">
        <v>18</v>
      </c>
      <c r="P107">
        <v>30</v>
      </c>
      <c r="Q107">
        <v>0.6</v>
      </c>
      <c r="R107">
        <v>350</v>
      </c>
      <c r="S107" s="1">
        <v>3990</v>
      </c>
      <c r="T107" t="s">
        <v>64</v>
      </c>
      <c r="U107" t="s">
        <v>65</v>
      </c>
      <c r="V107" s="1">
        <v>2689.94</v>
      </c>
      <c r="W107" s="2">
        <f>Merged_Clinical_Finance_Data[[#This Row],[Occupied_Beds]]/Merged_Clinical_Finance_Data[[#This Row],[Total_Beds]]</f>
        <v>0.6</v>
      </c>
      <c r="X107">
        <f>IF(Merged_Clinical_Finance_Data[[#This Row],[30Day_Readmission]]="Yes",1,0)</f>
        <v>0</v>
      </c>
      <c r="Y107" t="str" cm="1">
        <f t="array" ref="Y10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07" t="str" cm="1">
        <f t="array" ref="Z107">_xlfn.IFS(Merged_Clinical_Finance_Data[[#This Row],[Length_of_Stay_Days]]&lt;3,"Short (&lt;3)",Merged_Clinical_Finance_Data[[#This Row],[Length_of_Stay_Days]]&lt;=7,"Medium (3-7)",TRUE,"Long (&gt;7)")</f>
        <v>Long (&gt;7)</v>
      </c>
      <c r="AA107" s="3">
        <f>EOMONTH(Merged_Clinical_Finance_Data[[#This Row],[Admission_Date]],-1)+1</f>
        <v>45658</v>
      </c>
      <c r="AB107" s="1">
        <f>Merged_Clinical_Finance_Data[[#This Row],[Daily_Bed_Cost_GBP]]*Merged_Clinical_Finance_Data[[#This Row],[Length_of_Stay_Days]]</f>
        <v>3990</v>
      </c>
      <c r="AC107" t="str">
        <f>IF(Merged_Clinical_Finance_Data[[#This Row],[Total_Encounter_Cost_Naira]]&gt;AVERAGE(Merged_Clinical_Finance_Data[[#This Row],[Total_Encounter_Cost_Naira]]),"High","Normal")</f>
        <v>Normal</v>
      </c>
    </row>
    <row r="108" spans="1:29" x14ac:dyDescent="0.25">
      <c r="A108" t="s">
        <v>231</v>
      </c>
      <c r="B108" t="s">
        <v>114</v>
      </c>
      <c r="C108" t="s">
        <v>115</v>
      </c>
      <c r="D108" t="s">
        <v>32</v>
      </c>
      <c r="E108" s="3">
        <v>45949</v>
      </c>
      <c r="F108" s="3">
        <v>45957</v>
      </c>
      <c r="G108">
        <v>8.4</v>
      </c>
      <c r="H108">
        <v>22</v>
      </c>
      <c r="I108" t="s">
        <v>43</v>
      </c>
      <c r="J108" t="s">
        <v>61</v>
      </c>
      <c r="K108" t="s">
        <v>116</v>
      </c>
      <c r="L108" t="s">
        <v>139</v>
      </c>
      <c r="M108" t="s">
        <v>37</v>
      </c>
      <c r="N108" t="s">
        <v>38</v>
      </c>
      <c r="O108">
        <v>18</v>
      </c>
      <c r="P108">
        <v>30</v>
      </c>
      <c r="Q108">
        <v>0.6</v>
      </c>
      <c r="R108">
        <v>375</v>
      </c>
      <c r="S108" s="1">
        <v>3150</v>
      </c>
      <c r="T108" t="s">
        <v>136</v>
      </c>
      <c r="U108" t="s">
        <v>137</v>
      </c>
      <c r="V108" s="1">
        <v>3398.84</v>
      </c>
      <c r="W108" s="2">
        <f>Merged_Clinical_Finance_Data[[#This Row],[Occupied_Beds]]/Merged_Clinical_Finance_Data[[#This Row],[Total_Beds]]</f>
        <v>0.6</v>
      </c>
      <c r="X108">
        <f>IF(Merged_Clinical_Finance_Data[[#This Row],[30Day_Readmission]]="Yes",1,0)</f>
        <v>0</v>
      </c>
      <c r="Y108" t="str" cm="1">
        <f t="array" ref="Y10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08" t="str" cm="1">
        <f t="array" ref="Z108">_xlfn.IFS(Merged_Clinical_Finance_Data[[#This Row],[Length_of_Stay_Days]]&lt;3,"Short (&lt;3)",Merged_Clinical_Finance_Data[[#This Row],[Length_of_Stay_Days]]&lt;=7,"Medium (3-7)",TRUE,"Long (&gt;7)")</f>
        <v>Long (&gt;7)</v>
      </c>
      <c r="AA108" s="3">
        <f>EOMONTH(Merged_Clinical_Finance_Data[[#This Row],[Admission_Date]],-1)+1</f>
        <v>45931</v>
      </c>
      <c r="AB108" s="1">
        <f>Merged_Clinical_Finance_Data[[#This Row],[Daily_Bed_Cost_GBP]]*Merged_Clinical_Finance_Data[[#This Row],[Length_of_Stay_Days]]</f>
        <v>3150</v>
      </c>
      <c r="AC108" t="str">
        <f>IF(Merged_Clinical_Finance_Data[[#This Row],[Total_Encounter_Cost_Naira]]&gt;AVERAGE(Merged_Clinical_Finance_Data[[#This Row],[Total_Encounter_Cost_Naira]]),"High","Normal")</f>
        <v>Normal</v>
      </c>
    </row>
    <row r="109" spans="1:29" x14ac:dyDescent="0.25">
      <c r="A109" t="s">
        <v>232</v>
      </c>
      <c r="B109" t="s">
        <v>67</v>
      </c>
      <c r="C109" t="s">
        <v>68</v>
      </c>
      <c r="D109" t="s">
        <v>32</v>
      </c>
      <c r="E109" s="3">
        <v>45827</v>
      </c>
      <c r="F109" s="3">
        <v>45828</v>
      </c>
      <c r="G109">
        <v>1.7</v>
      </c>
      <c r="H109">
        <v>75</v>
      </c>
      <c r="I109" t="s">
        <v>43</v>
      </c>
      <c r="J109" t="s">
        <v>51</v>
      </c>
      <c r="K109" t="s">
        <v>76</v>
      </c>
      <c r="L109" t="s">
        <v>176</v>
      </c>
      <c r="M109" t="s">
        <v>47</v>
      </c>
      <c r="N109" t="s">
        <v>38</v>
      </c>
      <c r="O109">
        <v>19</v>
      </c>
      <c r="P109">
        <v>30</v>
      </c>
      <c r="Q109">
        <v>0.63329999999999997</v>
      </c>
      <c r="R109">
        <v>510</v>
      </c>
      <c r="S109" s="1">
        <v>867</v>
      </c>
      <c r="T109" t="s">
        <v>111</v>
      </c>
      <c r="U109" t="s">
        <v>112</v>
      </c>
      <c r="V109" s="1">
        <v>1727.37</v>
      </c>
      <c r="W109" s="2">
        <f>Merged_Clinical_Finance_Data[[#This Row],[Occupied_Beds]]/Merged_Clinical_Finance_Data[[#This Row],[Total_Beds]]</f>
        <v>0.6333333333333333</v>
      </c>
      <c r="X109">
        <f>IF(Merged_Clinical_Finance_Data[[#This Row],[30Day_Readmission]]="Yes",1,0)</f>
        <v>0</v>
      </c>
      <c r="Y109" t="str" cm="1">
        <f t="array" ref="Y10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09" t="str" cm="1">
        <f t="array" ref="Z109">_xlfn.IFS(Merged_Clinical_Finance_Data[[#This Row],[Length_of_Stay_Days]]&lt;3,"Short (&lt;3)",Merged_Clinical_Finance_Data[[#This Row],[Length_of_Stay_Days]]&lt;=7,"Medium (3-7)",TRUE,"Long (&gt;7)")</f>
        <v>Short (&lt;3)</v>
      </c>
      <c r="AA109" s="3">
        <f>EOMONTH(Merged_Clinical_Finance_Data[[#This Row],[Admission_Date]],-1)+1</f>
        <v>45809</v>
      </c>
      <c r="AB109" s="1">
        <f>Merged_Clinical_Finance_Data[[#This Row],[Daily_Bed_Cost_GBP]]*Merged_Clinical_Finance_Data[[#This Row],[Length_of_Stay_Days]]</f>
        <v>867</v>
      </c>
      <c r="AC109" t="str">
        <f>IF(Merged_Clinical_Finance_Data[[#This Row],[Total_Encounter_Cost_Naira]]&gt;AVERAGE(Merged_Clinical_Finance_Data[[#This Row],[Total_Encounter_Cost_Naira]]),"High","Normal")</f>
        <v>Normal</v>
      </c>
    </row>
    <row r="110" spans="1:29" x14ac:dyDescent="0.25">
      <c r="A110" t="s">
        <v>233</v>
      </c>
      <c r="B110" t="s">
        <v>114</v>
      </c>
      <c r="C110" t="s">
        <v>115</v>
      </c>
      <c r="D110" t="s">
        <v>42</v>
      </c>
      <c r="E110" s="3">
        <v>45985</v>
      </c>
      <c r="F110" s="3">
        <v>45988</v>
      </c>
      <c r="G110">
        <v>3.6</v>
      </c>
      <c r="H110">
        <v>62</v>
      </c>
      <c r="I110" t="s">
        <v>33</v>
      </c>
      <c r="J110" t="s">
        <v>73</v>
      </c>
      <c r="K110" t="s">
        <v>116</v>
      </c>
      <c r="L110" t="s">
        <v>139</v>
      </c>
      <c r="M110" t="s">
        <v>54</v>
      </c>
      <c r="N110" t="s">
        <v>38</v>
      </c>
      <c r="O110">
        <v>21</v>
      </c>
      <c r="P110">
        <v>30</v>
      </c>
      <c r="Q110">
        <v>0.7</v>
      </c>
      <c r="R110">
        <v>450</v>
      </c>
      <c r="S110" s="1">
        <v>1620</v>
      </c>
      <c r="T110" t="s">
        <v>39</v>
      </c>
      <c r="U110" t="s">
        <v>40</v>
      </c>
      <c r="V110" s="1">
        <v>3121.26</v>
      </c>
      <c r="W110" s="2">
        <f>Merged_Clinical_Finance_Data[[#This Row],[Occupied_Beds]]/Merged_Clinical_Finance_Data[[#This Row],[Total_Beds]]</f>
        <v>0.7</v>
      </c>
      <c r="X110">
        <f>IF(Merged_Clinical_Finance_Data[[#This Row],[30Day_Readmission]]="Yes",1,0)</f>
        <v>0</v>
      </c>
      <c r="Y110" t="str" cm="1">
        <f t="array" ref="Y11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10" t="str" cm="1">
        <f t="array" ref="Z110">_xlfn.IFS(Merged_Clinical_Finance_Data[[#This Row],[Length_of_Stay_Days]]&lt;3,"Short (&lt;3)",Merged_Clinical_Finance_Data[[#This Row],[Length_of_Stay_Days]]&lt;=7,"Medium (3-7)",TRUE,"Long (&gt;7)")</f>
        <v>Medium (3-7)</v>
      </c>
      <c r="AA110" s="3">
        <f>EOMONTH(Merged_Clinical_Finance_Data[[#This Row],[Admission_Date]],-1)+1</f>
        <v>45962</v>
      </c>
      <c r="AB110" s="1">
        <f>Merged_Clinical_Finance_Data[[#This Row],[Daily_Bed_Cost_GBP]]*Merged_Clinical_Finance_Data[[#This Row],[Length_of_Stay_Days]]</f>
        <v>1620</v>
      </c>
      <c r="AC110" t="str">
        <f>IF(Merged_Clinical_Finance_Data[[#This Row],[Total_Encounter_Cost_Naira]]&gt;AVERAGE(Merged_Clinical_Finance_Data[[#This Row],[Total_Encounter_Cost_Naira]]),"High","Normal")</f>
        <v>Normal</v>
      </c>
    </row>
    <row r="111" spans="1:29" x14ac:dyDescent="0.25">
      <c r="A111" t="s">
        <v>234</v>
      </c>
      <c r="B111" t="s">
        <v>49</v>
      </c>
      <c r="C111" t="s">
        <v>50</v>
      </c>
      <c r="D111" t="s">
        <v>32</v>
      </c>
      <c r="E111" s="3">
        <v>45984</v>
      </c>
      <c r="F111" s="3">
        <v>45994</v>
      </c>
      <c r="G111">
        <v>10.4</v>
      </c>
      <c r="H111">
        <v>65</v>
      </c>
      <c r="I111" t="s">
        <v>43</v>
      </c>
      <c r="J111" t="s">
        <v>81</v>
      </c>
      <c r="K111" t="s">
        <v>143</v>
      </c>
      <c r="L111" t="s">
        <v>150</v>
      </c>
      <c r="M111" t="s">
        <v>47</v>
      </c>
      <c r="N111" t="s">
        <v>38</v>
      </c>
      <c r="O111">
        <v>16</v>
      </c>
      <c r="P111">
        <v>30</v>
      </c>
      <c r="Q111">
        <v>0.5333</v>
      </c>
      <c r="R111">
        <v>350</v>
      </c>
      <c r="S111" s="1">
        <v>3640</v>
      </c>
      <c r="T111" t="s">
        <v>96</v>
      </c>
      <c r="U111" t="s">
        <v>97</v>
      </c>
      <c r="V111" s="1">
        <v>2146.5</v>
      </c>
      <c r="W111" s="2">
        <f>Merged_Clinical_Finance_Data[[#This Row],[Occupied_Beds]]/Merged_Clinical_Finance_Data[[#This Row],[Total_Beds]]</f>
        <v>0.53333333333333333</v>
      </c>
      <c r="X111">
        <f>IF(Merged_Clinical_Finance_Data[[#This Row],[30Day_Readmission]]="Yes",1,0)</f>
        <v>0</v>
      </c>
      <c r="Y111" t="str" cm="1">
        <f t="array" ref="Y11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11" t="str" cm="1">
        <f t="array" ref="Z111">_xlfn.IFS(Merged_Clinical_Finance_Data[[#This Row],[Length_of_Stay_Days]]&lt;3,"Short (&lt;3)",Merged_Clinical_Finance_Data[[#This Row],[Length_of_Stay_Days]]&lt;=7,"Medium (3-7)",TRUE,"Long (&gt;7)")</f>
        <v>Long (&gt;7)</v>
      </c>
      <c r="AA111" s="3">
        <f>EOMONTH(Merged_Clinical_Finance_Data[[#This Row],[Admission_Date]],-1)+1</f>
        <v>45962</v>
      </c>
      <c r="AB111" s="1">
        <f>Merged_Clinical_Finance_Data[[#This Row],[Daily_Bed_Cost_GBP]]*Merged_Clinical_Finance_Data[[#This Row],[Length_of_Stay_Days]]</f>
        <v>3640</v>
      </c>
      <c r="AC111" t="str">
        <f>IF(Merged_Clinical_Finance_Data[[#This Row],[Total_Encounter_Cost_Naira]]&gt;AVERAGE(Merged_Clinical_Finance_Data[[#This Row],[Total_Encounter_Cost_Naira]]),"High","Normal")</f>
        <v>Normal</v>
      </c>
    </row>
    <row r="112" spans="1:29" x14ac:dyDescent="0.25">
      <c r="A112" t="s">
        <v>235</v>
      </c>
      <c r="B112" t="s">
        <v>30</v>
      </c>
      <c r="C112" t="s">
        <v>31</v>
      </c>
      <c r="D112" t="s">
        <v>60</v>
      </c>
      <c r="E112" s="3">
        <v>45833</v>
      </c>
      <c r="F112" s="3">
        <v>45838</v>
      </c>
      <c r="G112">
        <v>5.6</v>
      </c>
      <c r="H112">
        <v>66</v>
      </c>
      <c r="I112" t="s">
        <v>43</v>
      </c>
      <c r="J112" t="s">
        <v>73</v>
      </c>
      <c r="K112" t="s">
        <v>45</v>
      </c>
      <c r="L112" t="s">
        <v>36</v>
      </c>
      <c r="M112" t="s">
        <v>47</v>
      </c>
      <c r="N112" t="s">
        <v>38</v>
      </c>
      <c r="O112">
        <v>17</v>
      </c>
      <c r="P112">
        <v>30</v>
      </c>
      <c r="Q112">
        <v>0.56669999999999998</v>
      </c>
      <c r="R112">
        <v>450</v>
      </c>
      <c r="S112" s="1">
        <v>2520</v>
      </c>
      <c r="T112" t="s">
        <v>55</v>
      </c>
      <c r="U112" t="s">
        <v>56</v>
      </c>
      <c r="V112" s="1">
        <v>932.12</v>
      </c>
      <c r="W112" s="2">
        <f>Merged_Clinical_Finance_Data[[#This Row],[Occupied_Beds]]/Merged_Clinical_Finance_Data[[#This Row],[Total_Beds]]</f>
        <v>0.56666666666666665</v>
      </c>
      <c r="X112">
        <f>IF(Merged_Clinical_Finance_Data[[#This Row],[30Day_Readmission]]="Yes",1,0)</f>
        <v>0</v>
      </c>
      <c r="Y112" t="str" cm="1">
        <f t="array" ref="Y11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12" t="str" cm="1">
        <f t="array" ref="Z112">_xlfn.IFS(Merged_Clinical_Finance_Data[[#This Row],[Length_of_Stay_Days]]&lt;3,"Short (&lt;3)",Merged_Clinical_Finance_Data[[#This Row],[Length_of_Stay_Days]]&lt;=7,"Medium (3-7)",TRUE,"Long (&gt;7)")</f>
        <v>Medium (3-7)</v>
      </c>
      <c r="AA112" s="3">
        <f>EOMONTH(Merged_Clinical_Finance_Data[[#This Row],[Admission_Date]],-1)+1</f>
        <v>45809</v>
      </c>
      <c r="AB112" s="1">
        <f>Merged_Clinical_Finance_Data[[#This Row],[Daily_Bed_Cost_GBP]]*Merged_Clinical_Finance_Data[[#This Row],[Length_of_Stay_Days]]</f>
        <v>2520</v>
      </c>
      <c r="AC112" t="str">
        <f>IF(Merged_Clinical_Finance_Data[[#This Row],[Total_Encounter_Cost_Naira]]&gt;AVERAGE(Merged_Clinical_Finance_Data[[#This Row],[Total_Encounter_Cost_Naira]]),"High","Normal")</f>
        <v>Normal</v>
      </c>
    </row>
    <row r="113" spans="1:29" x14ac:dyDescent="0.25">
      <c r="A113" t="s">
        <v>236</v>
      </c>
      <c r="B113" t="s">
        <v>67</v>
      </c>
      <c r="C113" t="s">
        <v>68</v>
      </c>
      <c r="D113" t="s">
        <v>60</v>
      </c>
      <c r="E113" s="3">
        <v>45677</v>
      </c>
      <c r="F113" s="3">
        <v>45681</v>
      </c>
      <c r="G113">
        <v>4.3</v>
      </c>
      <c r="H113">
        <v>59</v>
      </c>
      <c r="I113" t="s">
        <v>43</v>
      </c>
      <c r="J113" t="s">
        <v>34</v>
      </c>
      <c r="K113" t="s">
        <v>76</v>
      </c>
      <c r="L113" t="s">
        <v>70</v>
      </c>
      <c r="M113" t="s">
        <v>47</v>
      </c>
      <c r="N113" t="s">
        <v>38</v>
      </c>
      <c r="O113">
        <v>13</v>
      </c>
      <c r="P113">
        <v>30</v>
      </c>
      <c r="Q113">
        <v>0.43330000000000002</v>
      </c>
      <c r="R113">
        <v>480</v>
      </c>
      <c r="S113" s="1">
        <v>2064</v>
      </c>
      <c r="T113" t="s">
        <v>89</v>
      </c>
      <c r="U113" t="s">
        <v>90</v>
      </c>
      <c r="V113" s="1">
        <v>3536.24</v>
      </c>
      <c r="W113" s="2">
        <f>Merged_Clinical_Finance_Data[[#This Row],[Occupied_Beds]]/Merged_Clinical_Finance_Data[[#This Row],[Total_Beds]]</f>
        <v>0.43333333333333335</v>
      </c>
      <c r="X113">
        <f>IF(Merged_Clinical_Finance_Data[[#This Row],[30Day_Readmission]]="Yes",1,0)</f>
        <v>0</v>
      </c>
      <c r="Y113" t="str" cm="1">
        <f t="array" ref="Y11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13" t="str" cm="1">
        <f t="array" ref="Z113">_xlfn.IFS(Merged_Clinical_Finance_Data[[#This Row],[Length_of_Stay_Days]]&lt;3,"Short (&lt;3)",Merged_Clinical_Finance_Data[[#This Row],[Length_of_Stay_Days]]&lt;=7,"Medium (3-7)",TRUE,"Long (&gt;7)")</f>
        <v>Medium (3-7)</v>
      </c>
      <c r="AA113" s="3">
        <f>EOMONTH(Merged_Clinical_Finance_Data[[#This Row],[Admission_Date]],-1)+1</f>
        <v>45658</v>
      </c>
      <c r="AB113" s="1">
        <f>Merged_Clinical_Finance_Data[[#This Row],[Daily_Bed_Cost_GBP]]*Merged_Clinical_Finance_Data[[#This Row],[Length_of_Stay_Days]]</f>
        <v>2064</v>
      </c>
      <c r="AC113" t="str">
        <f>IF(Merged_Clinical_Finance_Data[[#This Row],[Total_Encounter_Cost_Naira]]&gt;AVERAGE(Merged_Clinical_Finance_Data[[#This Row],[Total_Encounter_Cost_Naira]]),"High","Normal")</f>
        <v>Normal</v>
      </c>
    </row>
    <row r="114" spans="1:29" x14ac:dyDescent="0.25">
      <c r="A114" t="s">
        <v>237</v>
      </c>
      <c r="B114" t="s">
        <v>114</v>
      </c>
      <c r="C114" t="s">
        <v>115</v>
      </c>
      <c r="D114" t="s">
        <v>60</v>
      </c>
      <c r="E114" s="3">
        <v>45930</v>
      </c>
      <c r="F114" s="3">
        <v>45932</v>
      </c>
      <c r="G114">
        <v>2.9</v>
      </c>
      <c r="H114">
        <v>84</v>
      </c>
      <c r="I114" t="s">
        <v>33</v>
      </c>
      <c r="J114" t="s">
        <v>34</v>
      </c>
      <c r="K114" t="s">
        <v>116</v>
      </c>
      <c r="L114" t="s">
        <v>139</v>
      </c>
      <c r="M114" t="s">
        <v>47</v>
      </c>
      <c r="N114" t="s">
        <v>38</v>
      </c>
      <c r="O114">
        <v>16</v>
      </c>
      <c r="P114">
        <v>30</v>
      </c>
      <c r="Q114">
        <v>0.5333</v>
      </c>
      <c r="R114">
        <v>375</v>
      </c>
      <c r="S114" s="1">
        <v>1087.5</v>
      </c>
      <c r="T114" t="s">
        <v>55</v>
      </c>
      <c r="U114" t="s">
        <v>56</v>
      </c>
      <c r="V114" s="1">
        <v>589.67999999999995</v>
      </c>
      <c r="W114" s="2">
        <f>Merged_Clinical_Finance_Data[[#This Row],[Occupied_Beds]]/Merged_Clinical_Finance_Data[[#This Row],[Total_Beds]]</f>
        <v>0.53333333333333333</v>
      </c>
      <c r="X114">
        <f>IF(Merged_Clinical_Finance_Data[[#This Row],[30Day_Readmission]]="Yes",1,0)</f>
        <v>0</v>
      </c>
      <c r="Y114" t="str" cm="1">
        <f t="array" ref="Y11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114" t="str" cm="1">
        <f t="array" ref="Z114">_xlfn.IFS(Merged_Clinical_Finance_Data[[#This Row],[Length_of_Stay_Days]]&lt;3,"Short (&lt;3)",Merged_Clinical_Finance_Data[[#This Row],[Length_of_Stay_Days]]&lt;=7,"Medium (3-7)",TRUE,"Long (&gt;7)")</f>
        <v>Short (&lt;3)</v>
      </c>
      <c r="AA114" s="3">
        <f>EOMONTH(Merged_Clinical_Finance_Data[[#This Row],[Admission_Date]],-1)+1</f>
        <v>45901</v>
      </c>
      <c r="AB114" s="1">
        <f>Merged_Clinical_Finance_Data[[#This Row],[Daily_Bed_Cost_GBP]]*Merged_Clinical_Finance_Data[[#This Row],[Length_of_Stay_Days]]</f>
        <v>1087.5</v>
      </c>
      <c r="AC114" t="str">
        <f>IF(Merged_Clinical_Finance_Data[[#This Row],[Total_Encounter_Cost_Naira]]&gt;AVERAGE(Merged_Clinical_Finance_Data[[#This Row],[Total_Encounter_Cost_Naira]]),"High","Normal")</f>
        <v>Normal</v>
      </c>
    </row>
    <row r="115" spans="1:29" x14ac:dyDescent="0.25">
      <c r="A115" t="s">
        <v>238</v>
      </c>
      <c r="B115" t="s">
        <v>79</v>
      </c>
      <c r="C115" t="s">
        <v>80</v>
      </c>
      <c r="D115" t="s">
        <v>60</v>
      </c>
      <c r="E115" s="3">
        <v>45824</v>
      </c>
      <c r="F115" s="3">
        <v>45828</v>
      </c>
      <c r="G115">
        <v>4.9000000000000004</v>
      </c>
      <c r="H115">
        <v>73</v>
      </c>
      <c r="I115" t="s">
        <v>33</v>
      </c>
      <c r="J115" t="s">
        <v>51</v>
      </c>
      <c r="K115" t="s">
        <v>87</v>
      </c>
      <c r="L115" t="s">
        <v>145</v>
      </c>
      <c r="M115" t="s">
        <v>47</v>
      </c>
      <c r="N115" t="s">
        <v>38</v>
      </c>
      <c r="O115">
        <v>29</v>
      </c>
      <c r="P115">
        <v>30</v>
      </c>
      <c r="Q115">
        <v>0.9667</v>
      </c>
      <c r="R115">
        <v>480</v>
      </c>
      <c r="S115" s="1">
        <v>2352</v>
      </c>
      <c r="T115" t="s">
        <v>89</v>
      </c>
      <c r="U115" t="s">
        <v>90</v>
      </c>
      <c r="V115" s="1">
        <v>8247.4500000000007</v>
      </c>
      <c r="W115" s="2">
        <f>Merged_Clinical_Finance_Data[[#This Row],[Occupied_Beds]]/Merged_Clinical_Finance_Data[[#This Row],[Total_Beds]]</f>
        <v>0.96666666666666667</v>
      </c>
      <c r="X115">
        <f>IF(Merged_Clinical_Finance_Data[[#This Row],[30Day_Readmission]]="Yes",1,0)</f>
        <v>0</v>
      </c>
      <c r="Y115" t="str" cm="1">
        <f t="array" ref="Y11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15" t="str" cm="1">
        <f t="array" ref="Z115">_xlfn.IFS(Merged_Clinical_Finance_Data[[#This Row],[Length_of_Stay_Days]]&lt;3,"Short (&lt;3)",Merged_Clinical_Finance_Data[[#This Row],[Length_of_Stay_Days]]&lt;=7,"Medium (3-7)",TRUE,"Long (&gt;7)")</f>
        <v>Medium (3-7)</v>
      </c>
      <c r="AA115" s="3">
        <f>EOMONTH(Merged_Clinical_Finance_Data[[#This Row],[Admission_Date]],-1)+1</f>
        <v>45809</v>
      </c>
      <c r="AB115" s="1">
        <f>Merged_Clinical_Finance_Data[[#This Row],[Daily_Bed_Cost_GBP]]*Merged_Clinical_Finance_Data[[#This Row],[Length_of_Stay_Days]]</f>
        <v>2352</v>
      </c>
      <c r="AC115" t="str">
        <f>IF(Merged_Clinical_Finance_Data[[#This Row],[Total_Encounter_Cost_Naira]]&gt;AVERAGE(Merged_Clinical_Finance_Data[[#This Row],[Total_Encounter_Cost_Naira]]),"High","Normal")</f>
        <v>Normal</v>
      </c>
    </row>
    <row r="116" spans="1:29" x14ac:dyDescent="0.25">
      <c r="A116" t="s">
        <v>239</v>
      </c>
      <c r="B116" t="s">
        <v>114</v>
      </c>
      <c r="C116" t="s">
        <v>115</v>
      </c>
      <c r="D116" t="s">
        <v>32</v>
      </c>
      <c r="E116" s="3">
        <v>45980</v>
      </c>
      <c r="F116" s="3">
        <v>45983</v>
      </c>
      <c r="G116">
        <v>3.3</v>
      </c>
      <c r="H116">
        <v>23</v>
      </c>
      <c r="I116" t="s">
        <v>33</v>
      </c>
      <c r="J116" t="s">
        <v>51</v>
      </c>
      <c r="K116" t="s">
        <v>132</v>
      </c>
      <c r="L116" t="s">
        <v>139</v>
      </c>
      <c r="M116" t="s">
        <v>37</v>
      </c>
      <c r="N116" t="s">
        <v>71</v>
      </c>
      <c r="O116">
        <v>30</v>
      </c>
      <c r="P116">
        <v>30</v>
      </c>
      <c r="Q116">
        <v>1</v>
      </c>
      <c r="R116">
        <v>375</v>
      </c>
      <c r="S116" s="1">
        <v>1237.5</v>
      </c>
      <c r="T116" t="s">
        <v>84</v>
      </c>
      <c r="U116" t="s">
        <v>85</v>
      </c>
      <c r="V116" s="1">
        <v>3012.45</v>
      </c>
      <c r="W116" s="2">
        <f>Merged_Clinical_Finance_Data[[#This Row],[Occupied_Beds]]/Merged_Clinical_Finance_Data[[#This Row],[Total_Beds]]</f>
        <v>1</v>
      </c>
      <c r="X116">
        <f>IF(Merged_Clinical_Finance_Data[[#This Row],[30Day_Readmission]]="Yes",1,0)</f>
        <v>1</v>
      </c>
      <c r="Y116" t="str" cm="1">
        <f t="array" ref="Y11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16" t="str" cm="1">
        <f t="array" ref="Z116">_xlfn.IFS(Merged_Clinical_Finance_Data[[#This Row],[Length_of_Stay_Days]]&lt;3,"Short (&lt;3)",Merged_Clinical_Finance_Data[[#This Row],[Length_of_Stay_Days]]&lt;=7,"Medium (3-7)",TRUE,"Long (&gt;7)")</f>
        <v>Medium (3-7)</v>
      </c>
      <c r="AA116" s="3">
        <f>EOMONTH(Merged_Clinical_Finance_Data[[#This Row],[Admission_Date]],-1)+1</f>
        <v>45962</v>
      </c>
      <c r="AB116" s="1">
        <f>Merged_Clinical_Finance_Data[[#This Row],[Daily_Bed_Cost_GBP]]*Merged_Clinical_Finance_Data[[#This Row],[Length_of_Stay_Days]]</f>
        <v>1237.5</v>
      </c>
      <c r="AC116" t="str">
        <f>IF(Merged_Clinical_Finance_Data[[#This Row],[Total_Encounter_Cost_Naira]]&gt;AVERAGE(Merged_Clinical_Finance_Data[[#This Row],[Total_Encounter_Cost_Naira]]),"High","Normal")</f>
        <v>Normal</v>
      </c>
    </row>
    <row r="117" spans="1:29" x14ac:dyDescent="0.25">
      <c r="A117" t="s">
        <v>240</v>
      </c>
      <c r="B117" t="s">
        <v>30</v>
      </c>
      <c r="C117" t="s">
        <v>31</v>
      </c>
      <c r="D117" t="s">
        <v>32</v>
      </c>
      <c r="E117" s="3">
        <v>45748</v>
      </c>
      <c r="F117" s="3">
        <v>45751</v>
      </c>
      <c r="G117">
        <v>3.4</v>
      </c>
      <c r="H117">
        <v>57</v>
      </c>
      <c r="I117" t="s">
        <v>33</v>
      </c>
      <c r="J117" t="s">
        <v>73</v>
      </c>
      <c r="K117" t="s">
        <v>45</v>
      </c>
      <c r="L117" t="s">
        <v>36</v>
      </c>
      <c r="M117" t="s">
        <v>37</v>
      </c>
      <c r="N117" t="s">
        <v>38</v>
      </c>
      <c r="O117">
        <v>22</v>
      </c>
      <c r="P117">
        <v>30</v>
      </c>
      <c r="Q117">
        <v>0.73329999999999995</v>
      </c>
      <c r="R117">
        <v>350</v>
      </c>
      <c r="S117" s="1">
        <v>1190</v>
      </c>
      <c r="T117" t="s">
        <v>111</v>
      </c>
      <c r="U117" t="s">
        <v>112</v>
      </c>
      <c r="V117" s="1">
        <v>2218.85</v>
      </c>
      <c r="W117" s="2">
        <f>Merged_Clinical_Finance_Data[[#This Row],[Occupied_Beds]]/Merged_Clinical_Finance_Data[[#This Row],[Total_Beds]]</f>
        <v>0.73333333333333328</v>
      </c>
      <c r="X117">
        <f>IF(Merged_Clinical_Finance_Data[[#This Row],[30Day_Readmission]]="Yes",1,0)</f>
        <v>0</v>
      </c>
      <c r="Y117" t="str" cm="1">
        <f t="array" ref="Y11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17" t="str" cm="1">
        <f t="array" ref="Z117">_xlfn.IFS(Merged_Clinical_Finance_Data[[#This Row],[Length_of_Stay_Days]]&lt;3,"Short (&lt;3)",Merged_Clinical_Finance_Data[[#This Row],[Length_of_Stay_Days]]&lt;=7,"Medium (3-7)",TRUE,"Long (&gt;7)")</f>
        <v>Medium (3-7)</v>
      </c>
      <c r="AA117" s="3">
        <f>EOMONTH(Merged_Clinical_Finance_Data[[#This Row],[Admission_Date]],-1)+1</f>
        <v>45748</v>
      </c>
      <c r="AB117" s="1">
        <f>Merged_Clinical_Finance_Data[[#This Row],[Daily_Bed_Cost_GBP]]*Merged_Clinical_Finance_Data[[#This Row],[Length_of_Stay_Days]]</f>
        <v>1190</v>
      </c>
      <c r="AC117" t="str">
        <f>IF(Merged_Clinical_Finance_Data[[#This Row],[Total_Encounter_Cost_Naira]]&gt;AVERAGE(Merged_Clinical_Finance_Data[[#This Row],[Total_Encounter_Cost_Naira]]),"High","Normal")</f>
        <v>Normal</v>
      </c>
    </row>
    <row r="118" spans="1:29" x14ac:dyDescent="0.25">
      <c r="A118" t="s">
        <v>241</v>
      </c>
      <c r="B118" t="s">
        <v>30</v>
      </c>
      <c r="C118" t="s">
        <v>31</v>
      </c>
      <c r="D118" t="s">
        <v>42</v>
      </c>
      <c r="E118" s="3">
        <v>45780</v>
      </c>
      <c r="F118" s="3">
        <v>45784</v>
      </c>
      <c r="G118">
        <v>4.0999999999999996</v>
      </c>
      <c r="H118">
        <v>34</v>
      </c>
      <c r="I118" t="s">
        <v>33</v>
      </c>
      <c r="J118" t="s">
        <v>51</v>
      </c>
      <c r="K118" t="s">
        <v>35</v>
      </c>
      <c r="L118" t="s">
        <v>46</v>
      </c>
      <c r="M118" t="s">
        <v>37</v>
      </c>
      <c r="N118" t="s">
        <v>38</v>
      </c>
      <c r="O118">
        <v>18</v>
      </c>
      <c r="P118">
        <v>30</v>
      </c>
      <c r="Q118">
        <v>0.6</v>
      </c>
      <c r="R118">
        <v>510</v>
      </c>
      <c r="S118" s="1">
        <v>2091</v>
      </c>
      <c r="T118" t="s">
        <v>55</v>
      </c>
      <c r="U118" t="s">
        <v>56</v>
      </c>
      <c r="V118" s="1">
        <v>594.96</v>
      </c>
      <c r="W118" s="2">
        <f>Merged_Clinical_Finance_Data[[#This Row],[Occupied_Beds]]/Merged_Clinical_Finance_Data[[#This Row],[Total_Beds]]</f>
        <v>0.6</v>
      </c>
      <c r="X118">
        <f>IF(Merged_Clinical_Finance_Data[[#This Row],[30Day_Readmission]]="Yes",1,0)</f>
        <v>0</v>
      </c>
      <c r="Y118" t="str" cm="1">
        <f t="array" ref="Y11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18" t="str" cm="1">
        <f t="array" ref="Z118">_xlfn.IFS(Merged_Clinical_Finance_Data[[#This Row],[Length_of_Stay_Days]]&lt;3,"Short (&lt;3)",Merged_Clinical_Finance_Data[[#This Row],[Length_of_Stay_Days]]&lt;=7,"Medium (3-7)",TRUE,"Long (&gt;7)")</f>
        <v>Medium (3-7)</v>
      </c>
      <c r="AA118" s="3">
        <f>EOMONTH(Merged_Clinical_Finance_Data[[#This Row],[Admission_Date]],-1)+1</f>
        <v>45778</v>
      </c>
      <c r="AB118" s="1">
        <f>Merged_Clinical_Finance_Data[[#This Row],[Daily_Bed_Cost_GBP]]*Merged_Clinical_Finance_Data[[#This Row],[Length_of_Stay_Days]]</f>
        <v>2091</v>
      </c>
      <c r="AC118" t="str">
        <f>IF(Merged_Clinical_Finance_Data[[#This Row],[Total_Encounter_Cost_Naira]]&gt;AVERAGE(Merged_Clinical_Finance_Data[[#This Row],[Total_Encounter_Cost_Naira]]),"High","Normal")</f>
        <v>Normal</v>
      </c>
    </row>
    <row r="119" spans="1:29" x14ac:dyDescent="0.25">
      <c r="A119" t="s">
        <v>242</v>
      </c>
      <c r="B119" t="s">
        <v>67</v>
      </c>
      <c r="C119" t="s">
        <v>68</v>
      </c>
      <c r="D119" t="s">
        <v>42</v>
      </c>
      <c r="E119" s="3">
        <v>46022</v>
      </c>
      <c r="F119" s="3">
        <v>46025</v>
      </c>
      <c r="G119">
        <v>3.6</v>
      </c>
      <c r="H119">
        <v>24</v>
      </c>
      <c r="I119" t="s">
        <v>33</v>
      </c>
      <c r="J119" t="s">
        <v>81</v>
      </c>
      <c r="K119" t="s">
        <v>76</v>
      </c>
      <c r="L119" t="s">
        <v>167</v>
      </c>
      <c r="M119" t="s">
        <v>47</v>
      </c>
      <c r="N119" t="s">
        <v>38</v>
      </c>
      <c r="O119">
        <v>26</v>
      </c>
      <c r="P119">
        <v>30</v>
      </c>
      <c r="Q119">
        <v>0.86670000000000003</v>
      </c>
      <c r="R119">
        <v>425</v>
      </c>
      <c r="S119" s="1">
        <v>1530</v>
      </c>
      <c r="T119" t="s">
        <v>55</v>
      </c>
      <c r="U119" t="s">
        <v>56</v>
      </c>
      <c r="V119" s="1">
        <v>799.27</v>
      </c>
      <c r="W119" s="2">
        <f>Merged_Clinical_Finance_Data[[#This Row],[Occupied_Beds]]/Merged_Clinical_Finance_Data[[#This Row],[Total_Beds]]</f>
        <v>0.8666666666666667</v>
      </c>
      <c r="X119">
        <f>IF(Merged_Clinical_Finance_Data[[#This Row],[30Day_Readmission]]="Yes",1,0)</f>
        <v>0</v>
      </c>
      <c r="Y119" t="str" cm="1">
        <f t="array" ref="Y11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19" t="str" cm="1">
        <f t="array" ref="Z119">_xlfn.IFS(Merged_Clinical_Finance_Data[[#This Row],[Length_of_Stay_Days]]&lt;3,"Short (&lt;3)",Merged_Clinical_Finance_Data[[#This Row],[Length_of_Stay_Days]]&lt;=7,"Medium (3-7)",TRUE,"Long (&gt;7)")</f>
        <v>Medium (3-7)</v>
      </c>
      <c r="AA119" s="3">
        <f>EOMONTH(Merged_Clinical_Finance_Data[[#This Row],[Admission_Date]],-1)+1</f>
        <v>45992</v>
      </c>
      <c r="AB119" s="1">
        <f>Merged_Clinical_Finance_Data[[#This Row],[Daily_Bed_Cost_GBP]]*Merged_Clinical_Finance_Data[[#This Row],[Length_of_Stay_Days]]</f>
        <v>1530</v>
      </c>
      <c r="AC119" t="str">
        <f>IF(Merged_Clinical_Finance_Data[[#This Row],[Total_Encounter_Cost_Naira]]&gt;AVERAGE(Merged_Clinical_Finance_Data[[#This Row],[Total_Encounter_Cost_Naira]]),"High","Normal")</f>
        <v>Normal</v>
      </c>
    </row>
    <row r="120" spans="1:29" x14ac:dyDescent="0.25">
      <c r="A120" t="s">
        <v>243</v>
      </c>
      <c r="B120" t="s">
        <v>114</v>
      </c>
      <c r="C120" t="s">
        <v>115</v>
      </c>
      <c r="D120" t="s">
        <v>42</v>
      </c>
      <c r="E120" s="3">
        <v>45756</v>
      </c>
      <c r="F120" s="3">
        <v>45763</v>
      </c>
      <c r="G120">
        <v>7.9</v>
      </c>
      <c r="H120">
        <v>49</v>
      </c>
      <c r="I120" t="s">
        <v>43</v>
      </c>
      <c r="J120" t="s">
        <v>81</v>
      </c>
      <c r="K120" t="s">
        <v>116</v>
      </c>
      <c r="L120" t="s">
        <v>223</v>
      </c>
      <c r="M120" t="s">
        <v>47</v>
      </c>
      <c r="N120" t="s">
        <v>38</v>
      </c>
      <c r="O120">
        <v>12</v>
      </c>
      <c r="P120">
        <v>30</v>
      </c>
      <c r="Q120">
        <v>0.4</v>
      </c>
      <c r="R120">
        <v>350</v>
      </c>
      <c r="S120" s="1">
        <v>2765</v>
      </c>
      <c r="T120" t="s">
        <v>39</v>
      </c>
      <c r="U120" t="s">
        <v>40</v>
      </c>
      <c r="V120" s="1">
        <v>1635.99</v>
      </c>
      <c r="W120" s="2">
        <f>Merged_Clinical_Finance_Data[[#This Row],[Occupied_Beds]]/Merged_Clinical_Finance_Data[[#This Row],[Total_Beds]]</f>
        <v>0.4</v>
      </c>
      <c r="X120">
        <f>IF(Merged_Clinical_Finance_Data[[#This Row],[30Day_Readmission]]="Yes",1,0)</f>
        <v>0</v>
      </c>
      <c r="Y120" t="str" cm="1">
        <f t="array" ref="Y12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20" t="str" cm="1">
        <f t="array" ref="Z120">_xlfn.IFS(Merged_Clinical_Finance_Data[[#This Row],[Length_of_Stay_Days]]&lt;3,"Short (&lt;3)",Merged_Clinical_Finance_Data[[#This Row],[Length_of_Stay_Days]]&lt;=7,"Medium (3-7)",TRUE,"Long (&gt;7)")</f>
        <v>Long (&gt;7)</v>
      </c>
      <c r="AA120" s="3">
        <f>EOMONTH(Merged_Clinical_Finance_Data[[#This Row],[Admission_Date]],-1)+1</f>
        <v>45748</v>
      </c>
      <c r="AB120" s="1">
        <f>Merged_Clinical_Finance_Data[[#This Row],[Daily_Bed_Cost_GBP]]*Merged_Clinical_Finance_Data[[#This Row],[Length_of_Stay_Days]]</f>
        <v>2765</v>
      </c>
      <c r="AC120" t="str">
        <f>IF(Merged_Clinical_Finance_Data[[#This Row],[Total_Encounter_Cost_Naira]]&gt;AVERAGE(Merged_Clinical_Finance_Data[[#This Row],[Total_Encounter_Cost_Naira]]),"High","Normal")</f>
        <v>Normal</v>
      </c>
    </row>
    <row r="121" spans="1:29" x14ac:dyDescent="0.25">
      <c r="A121" t="s">
        <v>244</v>
      </c>
      <c r="B121" t="s">
        <v>49</v>
      </c>
      <c r="C121" t="s">
        <v>50</v>
      </c>
      <c r="D121" t="s">
        <v>60</v>
      </c>
      <c r="E121" s="3">
        <v>45969</v>
      </c>
      <c r="F121" s="3">
        <v>45977</v>
      </c>
      <c r="G121">
        <v>8.4</v>
      </c>
      <c r="H121">
        <v>68</v>
      </c>
      <c r="I121" t="s">
        <v>43</v>
      </c>
      <c r="J121" t="s">
        <v>51</v>
      </c>
      <c r="K121" t="s">
        <v>143</v>
      </c>
      <c r="L121" t="s">
        <v>126</v>
      </c>
      <c r="M121" t="s">
        <v>47</v>
      </c>
      <c r="N121" t="s">
        <v>71</v>
      </c>
      <c r="O121">
        <v>30</v>
      </c>
      <c r="P121">
        <v>30</v>
      </c>
      <c r="Q121">
        <v>1</v>
      </c>
      <c r="R121">
        <v>425</v>
      </c>
      <c r="S121" s="1">
        <v>3570</v>
      </c>
      <c r="T121" t="s">
        <v>89</v>
      </c>
      <c r="U121" t="s">
        <v>90</v>
      </c>
      <c r="V121" s="1">
        <v>7525.46</v>
      </c>
      <c r="W121" s="2">
        <f>Merged_Clinical_Finance_Data[[#This Row],[Occupied_Beds]]/Merged_Clinical_Finance_Data[[#This Row],[Total_Beds]]</f>
        <v>1</v>
      </c>
      <c r="X121">
        <f>IF(Merged_Clinical_Finance_Data[[#This Row],[30Day_Readmission]]="Yes",1,0)</f>
        <v>1</v>
      </c>
      <c r="Y121" t="str" cm="1">
        <f t="array" ref="Y12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21" t="str" cm="1">
        <f t="array" ref="Z121">_xlfn.IFS(Merged_Clinical_Finance_Data[[#This Row],[Length_of_Stay_Days]]&lt;3,"Short (&lt;3)",Merged_Clinical_Finance_Data[[#This Row],[Length_of_Stay_Days]]&lt;=7,"Medium (3-7)",TRUE,"Long (&gt;7)")</f>
        <v>Long (&gt;7)</v>
      </c>
      <c r="AA121" s="3">
        <f>EOMONTH(Merged_Clinical_Finance_Data[[#This Row],[Admission_Date]],-1)+1</f>
        <v>45962</v>
      </c>
      <c r="AB121" s="1">
        <f>Merged_Clinical_Finance_Data[[#This Row],[Daily_Bed_Cost_GBP]]*Merged_Clinical_Finance_Data[[#This Row],[Length_of_Stay_Days]]</f>
        <v>3570</v>
      </c>
      <c r="AC121" t="str">
        <f>IF(Merged_Clinical_Finance_Data[[#This Row],[Total_Encounter_Cost_Naira]]&gt;AVERAGE(Merged_Clinical_Finance_Data[[#This Row],[Total_Encounter_Cost_Naira]]),"High","Normal")</f>
        <v>Normal</v>
      </c>
    </row>
    <row r="122" spans="1:29" x14ac:dyDescent="0.25">
      <c r="A122" t="s">
        <v>245</v>
      </c>
      <c r="B122" t="s">
        <v>30</v>
      </c>
      <c r="C122" t="s">
        <v>31</v>
      </c>
      <c r="D122" t="s">
        <v>42</v>
      </c>
      <c r="E122" s="3">
        <v>45789</v>
      </c>
      <c r="F122" s="3">
        <v>45793</v>
      </c>
      <c r="G122">
        <v>4.8</v>
      </c>
      <c r="H122">
        <v>67</v>
      </c>
      <c r="I122" t="s">
        <v>33</v>
      </c>
      <c r="J122" t="s">
        <v>73</v>
      </c>
      <c r="K122" t="s">
        <v>35</v>
      </c>
      <c r="L122" t="s">
        <v>46</v>
      </c>
      <c r="M122" t="s">
        <v>54</v>
      </c>
      <c r="N122" t="s">
        <v>38</v>
      </c>
      <c r="O122">
        <v>28</v>
      </c>
      <c r="P122">
        <v>30</v>
      </c>
      <c r="Q122">
        <v>0.93330000000000002</v>
      </c>
      <c r="R122">
        <v>510</v>
      </c>
      <c r="S122" s="1">
        <v>2448</v>
      </c>
      <c r="T122" t="s">
        <v>96</v>
      </c>
      <c r="U122" t="s">
        <v>97</v>
      </c>
      <c r="V122" s="1">
        <v>3441.18</v>
      </c>
      <c r="W122" s="2">
        <f>Merged_Clinical_Finance_Data[[#This Row],[Occupied_Beds]]/Merged_Clinical_Finance_Data[[#This Row],[Total_Beds]]</f>
        <v>0.93333333333333335</v>
      </c>
      <c r="X122">
        <f>IF(Merged_Clinical_Finance_Data[[#This Row],[30Day_Readmission]]="Yes",1,0)</f>
        <v>0</v>
      </c>
      <c r="Y122" t="str" cm="1">
        <f t="array" ref="Y12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22" t="str" cm="1">
        <f t="array" ref="Z122">_xlfn.IFS(Merged_Clinical_Finance_Data[[#This Row],[Length_of_Stay_Days]]&lt;3,"Short (&lt;3)",Merged_Clinical_Finance_Data[[#This Row],[Length_of_Stay_Days]]&lt;=7,"Medium (3-7)",TRUE,"Long (&gt;7)")</f>
        <v>Medium (3-7)</v>
      </c>
      <c r="AA122" s="3">
        <f>EOMONTH(Merged_Clinical_Finance_Data[[#This Row],[Admission_Date]],-1)+1</f>
        <v>45778</v>
      </c>
      <c r="AB122" s="1">
        <f>Merged_Clinical_Finance_Data[[#This Row],[Daily_Bed_Cost_GBP]]*Merged_Clinical_Finance_Data[[#This Row],[Length_of_Stay_Days]]</f>
        <v>2448</v>
      </c>
      <c r="AC122" t="str">
        <f>IF(Merged_Clinical_Finance_Data[[#This Row],[Total_Encounter_Cost_Naira]]&gt;AVERAGE(Merged_Clinical_Finance_Data[[#This Row],[Total_Encounter_Cost_Naira]]),"High","Normal")</f>
        <v>Normal</v>
      </c>
    </row>
    <row r="123" spans="1:29" x14ac:dyDescent="0.25">
      <c r="A123" t="s">
        <v>246</v>
      </c>
      <c r="B123" t="s">
        <v>102</v>
      </c>
      <c r="C123" t="s">
        <v>103</v>
      </c>
      <c r="D123" t="s">
        <v>32</v>
      </c>
      <c r="E123" s="3">
        <v>46015</v>
      </c>
      <c r="F123" s="3">
        <v>46016</v>
      </c>
      <c r="G123">
        <v>1.8</v>
      </c>
      <c r="H123">
        <v>45</v>
      </c>
      <c r="I123" t="s">
        <v>33</v>
      </c>
      <c r="J123" t="s">
        <v>73</v>
      </c>
      <c r="K123" t="s">
        <v>153</v>
      </c>
      <c r="L123" t="s">
        <v>209</v>
      </c>
      <c r="M123" t="s">
        <v>37</v>
      </c>
      <c r="N123" t="s">
        <v>38</v>
      </c>
      <c r="O123">
        <v>21</v>
      </c>
      <c r="P123">
        <v>30</v>
      </c>
      <c r="Q123">
        <v>0.7</v>
      </c>
      <c r="R123">
        <v>400</v>
      </c>
      <c r="S123" s="1">
        <v>720</v>
      </c>
      <c r="T123" t="s">
        <v>84</v>
      </c>
      <c r="U123" t="s">
        <v>85</v>
      </c>
      <c r="V123" s="1">
        <v>3454.97</v>
      </c>
      <c r="W123" s="2">
        <f>Merged_Clinical_Finance_Data[[#This Row],[Occupied_Beds]]/Merged_Clinical_Finance_Data[[#This Row],[Total_Beds]]</f>
        <v>0.7</v>
      </c>
      <c r="X123">
        <f>IF(Merged_Clinical_Finance_Data[[#This Row],[30Day_Readmission]]="Yes",1,0)</f>
        <v>0</v>
      </c>
      <c r="Y123" t="str" cm="1">
        <f t="array" ref="Y12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23" t="str" cm="1">
        <f t="array" ref="Z123">_xlfn.IFS(Merged_Clinical_Finance_Data[[#This Row],[Length_of_Stay_Days]]&lt;3,"Short (&lt;3)",Merged_Clinical_Finance_Data[[#This Row],[Length_of_Stay_Days]]&lt;=7,"Medium (3-7)",TRUE,"Long (&gt;7)")</f>
        <v>Short (&lt;3)</v>
      </c>
      <c r="AA123" s="3">
        <f>EOMONTH(Merged_Clinical_Finance_Data[[#This Row],[Admission_Date]],-1)+1</f>
        <v>45992</v>
      </c>
      <c r="AB123" s="1">
        <f>Merged_Clinical_Finance_Data[[#This Row],[Daily_Bed_Cost_GBP]]*Merged_Clinical_Finance_Data[[#This Row],[Length_of_Stay_Days]]</f>
        <v>720</v>
      </c>
      <c r="AC123" t="str">
        <f>IF(Merged_Clinical_Finance_Data[[#This Row],[Total_Encounter_Cost_Naira]]&gt;AVERAGE(Merged_Clinical_Finance_Data[[#This Row],[Total_Encounter_Cost_Naira]]),"High","Normal")</f>
        <v>Normal</v>
      </c>
    </row>
    <row r="124" spans="1:29" x14ac:dyDescent="0.25">
      <c r="A124" t="s">
        <v>247</v>
      </c>
      <c r="B124" t="s">
        <v>114</v>
      </c>
      <c r="C124" t="s">
        <v>115</v>
      </c>
      <c r="D124" t="s">
        <v>42</v>
      </c>
      <c r="E124" s="3">
        <v>45761</v>
      </c>
      <c r="F124" s="3">
        <v>45765</v>
      </c>
      <c r="G124">
        <v>4.9000000000000004</v>
      </c>
      <c r="H124">
        <v>56</v>
      </c>
      <c r="I124" t="s">
        <v>33</v>
      </c>
      <c r="J124" t="s">
        <v>34</v>
      </c>
      <c r="K124" t="s">
        <v>132</v>
      </c>
      <c r="L124" t="s">
        <v>161</v>
      </c>
      <c r="M124" t="s">
        <v>54</v>
      </c>
      <c r="N124" t="s">
        <v>38</v>
      </c>
      <c r="O124">
        <v>15</v>
      </c>
      <c r="P124">
        <v>30</v>
      </c>
      <c r="Q124">
        <v>0.5</v>
      </c>
      <c r="R124">
        <v>510</v>
      </c>
      <c r="S124" s="1">
        <v>2499</v>
      </c>
      <c r="T124" t="s">
        <v>96</v>
      </c>
      <c r="U124" t="s">
        <v>97</v>
      </c>
      <c r="V124" s="1">
        <v>1307.43</v>
      </c>
      <c r="W124" s="2">
        <f>Merged_Clinical_Finance_Data[[#This Row],[Occupied_Beds]]/Merged_Clinical_Finance_Data[[#This Row],[Total_Beds]]</f>
        <v>0.5</v>
      </c>
      <c r="X124">
        <f>IF(Merged_Clinical_Finance_Data[[#This Row],[30Day_Readmission]]="Yes",1,0)</f>
        <v>0</v>
      </c>
      <c r="Y124" t="str" cm="1">
        <f t="array" ref="Y12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24" t="str" cm="1">
        <f t="array" ref="Z124">_xlfn.IFS(Merged_Clinical_Finance_Data[[#This Row],[Length_of_Stay_Days]]&lt;3,"Short (&lt;3)",Merged_Clinical_Finance_Data[[#This Row],[Length_of_Stay_Days]]&lt;=7,"Medium (3-7)",TRUE,"Long (&gt;7)")</f>
        <v>Medium (3-7)</v>
      </c>
      <c r="AA124" s="3">
        <f>EOMONTH(Merged_Clinical_Finance_Data[[#This Row],[Admission_Date]],-1)+1</f>
        <v>45748</v>
      </c>
      <c r="AB124" s="1">
        <f>Merged_Clinical_Finance_Data[[#This Row],[Daily_Bed_Cost_GBP]]*Merged_Clinical_Finance_Data[[#This Row],[Length_of_Stay_Days]]</f>
        <v>2499</v>
      </c>
      <c r="AC124" t="str">
        <f>IF(Merged_Clinical_Finance_Data[[#This Row],[Total_Encounter_Cost_Naira]]&gt;AVERAGE(Merged_Clinical_Finance_Data[[#This Row],[Total_Encounter_Cost_Naira]]),"High","Normal")</f>
        <v>Normal</v>
      </c>
    </row>
    <row r="125" spans="1:29" x14ac:dyDescent="0.25">
      <c r="A125" t="s">
        <v>248</v>
      </c>
      <c r="B125" t="s">
        <v>30</v>
      </c>
      <c r="C125" t="s">
        <v>31</v>
      </c>
      <c r="D125" t="s">
        <v>42</v>
      </c>
      <c r="E125" s="3">
        <v>45858</v>
      </c>
      <c r="F125" s="3">
        <v>45860</v>
      </c>
      <c r="G125">
        <v>2.7</v>
      </c>
      <c r="H125">
        <v>76</v>
      </c>
      <c r="I125" t="s">
        <v>43</v>
      </c>
      <c r="J125" t="s">
        <v>51</v>
      </c>
      <c r="K125" t="s">
        <v>45</v>
      </c>
      <c r="L125" t="s">
        <v>134</v>
      </c>
      <c r="M125" t="s">
        <v>37</v>
      </c>
      <c r="N125" t="s">
        <v>38</v>
      </c>
      <c r="O125">
        <v>18</v>
      </c>
      <c r="P125">
        <v>30</v>
      </c>
      <c r="Q125">
        <v>0.6</v>
      </c>
      <c r="R125">
        <v>450</v>
      </c>
      <c r="S125" s="1">
        <v>1215</v>
      </c>
      <c r="T125" t="s">
        <v>39</v>
      </c>
      <c r="U125" t="s">
        <v>40</v>
      </c>
      <c r="V125" s="1">
        <v>2023.38</v>
      </c>
      <c r="W125" s="2">
        <f>Merged_Clinical_Finance_Data[[#This Row],[Occupied_Beds]]/Merged_Clinical_Finance_Data[[#This Row],[Total_Beds]]</f>
        <v>0.6</v>
      </c>
      <c r="X125">
        <f>IF(Merged_Clinical_Finance_Data[[#This Row],[30Day_Readmission]]="Yes",1,0)</f>
        <v>0</v>
      </c>
      <c r="Y125" t="str" cm="1">
        <f t="array" ref="Y12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25" t="str" cm="1">
        <f t="array" ref="Z125">_xlfn.IFS(Merged_Clinical_Finance_Data[[#This Row],[Length_of_Stay_Days]]&lt;3,"Short (&lt;3)",Merged_Clinical_Finance_Data[[#This Row],[Length_of_Stay_Days]]&lt;=7,"Medium (3-7)",TRUE,"Long (&gt;7)")</f>
        <v>Short (&lt;3)</v>
      </c>
      <c r="AA125" s="3">
        <f>EOMONTH(Merged_Clinical_Finance_Data[[#This Row],[Admission_Date]],-1)+1</f>
        <v>45839</v>
      </c>
      <c r="AB125" s="1">
        <f>Merged_Clinical_Finance_Data[[#This Row],[Daily_Bed_Cost_GBP]]*Merged_Clinical_Finance_Data[[#This Row],[Length_of_Stay_Days]]</f>
        <v>1215</v>
      </c>
      <c r="AC125" t="str">
        <f>IF(Merged_Clinical_Finance_Data[[#This Row],[Total_Encounter_Cost_Naira]]&gt;AVERAGE(Merged_Clinical_Finance_Data[[#This Row],[Total_Encounter_Cost_Naira]]),"High","Normal")</f>
        <v>Normal</v>
      </c>
    </row>
    <row r="126" spans="1:29" x14ac:dyDescent="0.25">
      <c r="A126" t="s">
        <v>249</v>
      </c>
      <c r="B126" t="s">
        <v>107</v>
      </c>
      <c r="C126" t="s">
        <v>108</v>
      </c>
      <c r="D126" t="s">
        <v>60</v>
      </c>
      <c r="E126" s="3">
        <v>45687</v>
      </c>
      <c r="F126" s="3">
        <v>45690</v>
      </c>
      <c r="G126">
        <v>3.9</v>
      </c>
      <c r="H126">
        <v>57</v>
      </c>
      <c r="I126" t="s">
        <v>43</v>
      </c>
      <c r="J126" t="s">
        <v>81</v>
      </c>
      <c r="K126" t="s">
        <v>158</v>
      </c>
      <c r="L126" t="s">
        <v>121</v>
      </c>
      <c r="M126" t="s">
        <v>37</v>
      </c>
      <c r="N126" t="s">
        <v>38</v>
      </c>
      <c r="O126">
        <v>24</v>
      </c>
      <c r="P126">
        <v>30</v>
      </c>
      <c r="Q126">
        <v>0.8</v>
      </c>
      <c r="R126">
        <v>510</v>
      </c>
      <c r="S126" s="1">
        <v>1989</v>
      </c>
      <c r="T126" t="s">
        <v>89</v>
      </c>
      <c r="U126" t="s">
        <v>90</v>
      </c>
      <c r="V126" s="1">
        <v>3060.02</v>
      </c>
      <c r="W126" s="2">
        <f>Merged_Clinical_Finance_Data[[#This Row],[Occupied_Beds]]/Merged_Clinical_Finance_Data[[#This Row],[Total_Beds]]</f>
        <v>0.8</v>
      </c>
      <c r="X126">
        <f>IF(Merged_Clinical_Finance_Data[[#This Row],[30Day_Readmission]]="Yes",1,0)</f>
        <v>0</v>
      </c>
      <c r="Y126" t="str" cm="1">
        <f t="array" ref="Y12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26" t="str" cm="1">
        <f t="array" ref="Z126">_xlfn.IFS(Merged_Clinical_Finance_Data[[#This Row],[Length_of_Stay_Days]]&lt;3,"Short (&lt;3)",Merged_Clinical_Finance_Data[[#This Row],[Length_of_Stay_Days]]&lt;=7,"Medium (3-7)",TRUE,"Long (&gt;7)")</f>
        <v>Medium (3-7)</v>
      </c>
      <c r="AA126" s="3">
        <f>EOMONTH(Merged_Clinical_Finance_Data[[#This Row],[Admission_Date]],-1)+1</f>
        <v>45658</v>
      </c>
      <c r="AB126" s="1">
        <f>Merged_Clinical_Finance_Data[[#This Row],[Daily_Bed_Cost_GBP]]*Merged_Clinical_Finance_Data[[#This Row],[Length_of_Stay_Days]]</f>
        <v>1989</v>
      </c>
      <c r="AC126" t="str">
        <f>IF(Merged_Clinical_Finance_Data[[#This Row],[Total_Encounter_Cost_Naira]]&gt;AVERAGE(Merged_Clinical_Finance_Data[[#This Row],[Total_Encounter_Cost_Naira]]),"High","Normal")</f>
        <v>Normal</v>
      </c>
    </row>
    <row r="127" spans="1:29" x14ac:dyDescent="0.25">
      <c r="A127" t="s">
        <v>250</v>
      </c>
      <c r="B127" t="s">
        <v>49</v>
      </c>
      <c r="C127" t="s">
        <v>50</v>
      </c>
      <c r="D127" t="s">
        <v>60</v>
      </c>
      <c r="E127" s="3">
        <v>45719</v>
      </c>
      <c r="F127" s="3">
        <v>45725</v>
      </c>
      <c r="G127">
        <v>6.7</v>
      </c>
      <c r="H127">
        <v>44</v>
      </c>
      <c r="I127" t="s">
        <v>43</v>
      </c>
      <c r="J127" t="s">
        <v>81</v>
      </c>
      <c r="K127" t="s">
        <v>143</v>
      </c>
      <c r="L127" t="s">
        <v>126</v>
      </c>
      <c r="M127" t="s">
        <v>37</v>
      </c>
      <c r="N127" t="s">
        <v>38</v>
      </c>
      <c r="O127">
        <v>28</v>
      </c>
      <c r="P127">
        <v>30</v>
      </c>
      <c r="Q127">
        <v>0.93330000000000002</v>
      </c>
      <c r="R127">
        <v>450</v>
      </c>
      <c r="S127" s="1">
        <v>3015</v>
      </c>
      <c r="T127" t="s">
        <v>84</v>
      </c>
      <c r="U127" t="s">
        <v>85</v>
      </c>
      <c r="V127" s="1">
        <v>6739.05</v>
      </c>
      <c r="W127" s="2">
        <f>Merged_Clinical_Finance_Data[[#This Row],[Occupied_Beds]]/Merged_Clinical_Finance_Data[[#This Row],[Total_Beds]]</f>
        <v>0.93333333333333335</v>
      </c>
      <c r="X127">
        <f>IF(Merged_Clinical_Finance_Data[[#This Row],[30Day_Readmission]]="Yes",1,0)</f>
        <v>0</v>
      </c>
      <c r="Y127" t="str" cm="1">
        <f t="array" ref="Y12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27" t="str" cm="1">
        <f t="array" ref="Z127">_xlfn.IFS(Merged_Clinical_Finance_Data[[#This Row],[Length_of_Stay_Days]]&lt;3,"Short (&lt;3)",Merged_Clinical_Finance_Data[[#This Row],[Length_of_Stay_Days]]&lt;=7,"Medium (3-7)",TRUE,"Long (&gt;7)")</f>
        <v>Medium (3-7)</v>
      </c>
      <c r="AA127" s="3">
        <f>EOMONTH(Merged_Clinical_Finance_Data[[#This Row],[Admission_Date]],-1)+1</f>
        <v>45717</v>
      </c>
      <c r="AB127" s="1">
        <f>Merged_Clinical_Finance_Data[[#This Row],[Daily_Bed_Cost_GBP]]*Merged_Clinical_Finance_Data[[#This Row],[Length_of_Stay_Days]]</f>
        <v>3015</v>
      </c>
      <c r="AC127" t="str">
        <f>IF(Merged_Clinical_Finance_Data[[#This Row],[Total_Encounter_Cost_Naira]]&gt;AVERAGE(Merged_Clinical_Finance_Data[[#This Row],[Total_Encounter_Cost_Naira]]),"High","Normal")</f>
        <v>Normal</v>
      </c>
    </row>
    <row r="128" spans="1:29" x14ac:dyDescent="0.25">
      <c r="A128" t="s">
        <v>251</v>
      </c>
      <c r="B128" t="s">
        <v>102</v>
      </c>
      <c r="C128" t="s">
        <v>103</v>
      </c>
      <c r="D128" t="s">
        <v>42</v>
      </c>
      <c r="E128" s="3">
        <v>45734</v>
      </c>
      <c r="F128" s="3">
        <v>45735</v>
      </c>
      <c r="G128">
        <v>1.1000000000000001</v>
      </c>
      <c r="H128">
        <v>21</v>
      </c>
      <c r="I128" t="s">
        <v>43</v>
      </c>
      <c r="J128" t="s">
        <v>34</v>
      </c>
      <c r="K128" t="s">
        <v>153</v>
      </c>
      <c r="L128" t="s">
        <v>105</v>
      </c>
      <c r="M128" t="s">
        <v>47</v>
      </c>
      <c r="N128" t="s">
        <v>38</v>
      </c>
      <c r="O128">
        <v>28</v>
      </c>
      <c r="P128">
        <v>30</v>
      </c>
      <c r="Q128">
        <v>0.93330000000000002</v>
      </c>
      <c r="R128">
        <v>375</v>
      </c>
      <c r="S128" s="1">
        <v>412.5</v>
      </c>
      <c r="T128" t="s">
        <v>89</v>
      </c>
      <c r="U128" t="s">
        <v>90</v>
      </c>
      <c r="V128" s="1">
        <v>5786.7</v>
      </c>
      <c r="W128" s="2">
        <f>Merged_Clinical_Finance_Data[[#This Row],[Occupied_Beds]]/Merged_Clinical_Finance_Data[[#This Row],[Total_Beds]]</f>
        <v>0.93333333333333335</v>
      </c>
      <c r="X128">
        <f>IF(Merged_Clinical_Finance_Data[[#This Row],[30Day_Readmission]]="Yes",1,0)</f>
        <v>0</v>
      </c>
      <c r="Y128" t="str" cm="1">
        <f t="array" ref="Y12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28" t="str" cm="1">
        <f t="array" ref="Z128">_xlfn.IFS(Merged_Clinical_Finance_Data[[#This Row],[Length_of_Stay_Days]]&lt;3,"Short (&lt;3)",Merged_Clinical_Finance_Data[[#This Row],[Length_of_Stay_Days]]&lt;=7,"Medium (3-7)",TRUE,"Long (&gt;7)")</f>
        <v>Short (&lt;3)</v>
      </c>
      <c r="AA128" s="3">
        <f>EOMONTH(Merged_Clinical_Finance_Data[[#This Row],[Admission_Date]],-1)+1</f>
        <v>45717</v>
      </c>
      <c r="AB128" s="1">
        <f>Merged_Clinical_Finance_Data[[#This Row],[Daily_Bed_Cost_GBP]]*Merged_Clinical_Finance_Data[[#This Row],[Length_of_Stay_Days]]</f>
        <v>412.50000000000006</v>
      </c>
      <c r="AC128" t="str">
        <f>IF(Merged_Clinical_Finance_Data[[#This Row],[Total_Encounter_Cost_Naira]]&gt;AVERAGE(Merged_Clinical_Finance_Data[[#This Row],[Total_Encounter_Cost_Naira]]),"High","Normal")</f>
        <v>Normal</v>
      </c>
    </row>
    <row r="129" spans="1:29" x14ac:dyDescent="0.25">
      <c r="A129" t="s">
        <v>252</v>
      </c>
      <c r="B129" t="s">
        <v>79</v>
      </c>
      <c r="C129" t="s">
        <v>80</v>
      </c>
      <c r="D129" t="s">
        <v>42</v>
      </c>
      <c r="E129" s="3">
        <v>45865</v>
      </c>
      <c r="F129" s="3">
        <v>45869</v>
      </c>
      <c r="G129">
        <v>4.7</v>
      </c>
      <c r="H129">
        <v>42</v>
      </c>
      <c r="I129" t="s">
        <v>43</v>
      </c>
      <c r="J129" t="s">
        <v>34</v>
      </c>
      <c r="K129" t="s">
        <v>87</v>
      </c>
      <c r="L129" t="s">
        <v>83</v>
      </c>
      <c r="M129" t="s">
        <v>37</v>
      </c>
      <c r="N129" t="s">
        <v>38</v>
      </c>
      <c r="O129">
        <v>30</v>
      </c>
      <c r="P129">
        <v>30</v>
      </c>
      <c r="Q129">
        <v>1</v>
      </c>
      <c r="R129">
        <v>350</v>
      </c>
      <c r="S129" s="1">
        <v>1645</v>
      </c>
      <c r="T129" t="s">
        <v>111</v>
      </c>
      <c r="U129" t="s">
        <v>112</v>
      </c>
      <c r="V129" s="1">
        <v>1301.92</v>
      </c>
      <c r="W129" s="2">
        <f>Merged_Clinical_Finance_Data[[#This Row],[Occupied_Beds]]/Merged_Clinical_Finance_Data[[#This Row],[Total_Beds]]</f>
        <v>1</v>
      </c>
      <c r="X129">
        <f>IF(Merged_Clinical_Finance_Data[[#This Row],[30Day_Readmission]]="Yes",1,0)</f>
        <v>0</v>
      </c>
      <c r="Y129" t="str" cm="1">
        <f t="array" ref="Y12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29" t="str" cm="1">
        <f t="array" ref="Z129">_xlfn.IFS(Merged_Clinical_Finance_Data[[#This Row],[Length_of_Stay_Days]]&lt;3,"Short (&lt;3)",Merged_Clinical_Finance_Data[[#This Row],[Length_of_Stay_Days]]&lt;=7,"Medium (3-7)",TRUE,"Long (&gt;7)")</f>
        <v>Medium (3-7)</v>
      </c>
      <c r="AA129" s="3">
        <f>EOMONTH(Merged_Clinical_Finance_Data[[#This Row],[Admission_Date]],-1)+1</f>
        <v>45839</v>
      </c>
      <c r="AB129" s="1">
        <f>Merged_Clinical_Finance_Data[[#This Row],[Daily_Bed_Cost_GBP]]*Merged_Clinical_Finance_Data[[#This Row],[Length_of_Stay_Days]]</f>
        <v>1645</v>
      </c>
      <c r="AC129" t="str">
        <f>IF(Merged_Clinical_Finance_Data[[#This Row],[Total_Encounter_Cost_Naira]]&gt;AVERAGE(Merged_Clinical_Finance_Data[[#This Row],[Total_Encounter_Cost_Naira]]),"High","Normal")</f>
        <v>Normal</v>
      </c>
    </row>
    <row r="130" spans="1:29" x14ac:dyDescent="0.25">
      <c r="A130" t="s">
        <v>253</v>
      </c>
      <c r="B130" t="s">
        <v>30</v>
      </c>
      <c r="C130" t="s">
        <v>31</v>
      </c>
      <c r="D130" t="s">
        <v>60</v>
      </c>
      <c r="E130" s="3">
        <v>45829</v>
      </c>
      <c r="F130" s="3">
        <v>45835</v>
      </c>
      <c r="G130">
        <v>6.3</v>
      </c>
      <c r="H130">
        <v>31</v>
      </c>
      <c r="I130" t="s">
        <v>43</v>
      </c>
      <c r="J130" t="s">
        <v>51</v>
      </c>
      <c r="K130" t="s">
        <v>45</v>
      </c>
      <c r="L130" t="s">
        <v>134</v>
      </c>
      <c r="M130" t="s">
        <v>54</v>
      </c>
      <c r="N130" t="s">
        <v>38</v>
      </c>
      <c r="O130">
        <v>14</v>
      </c>
      <c r="P130">
        <v>30</v>
      </c>
      <c r="Q130">
        <v>0.4667</v>
      </c>
      <c r="R130">
        <v>400</v>
      </c>
      <c r="S130" s="1">
        <v>2520</v>
      </c>
      <c r="T130" t="s">
        <v>96</v>
      </c>
      <c r="U130" t="s">
        <v>97</v>
      </c>
      <c r="V130" s="1">
        <v>2151.16</v>
      </c>
      <c r="W130" s="2">
        <f>Merged_Clinical_Finance_Data[[#This Row],[Occupied_Beds]]/Merged_Clinical_Finance_Data[[#This Row],[Total_Beds]]</f>
        <v>0.46666666666666667</v>
      </c>
      <c r="X130">
        <f>IF(Merged_Clinical_Finance_Data[[#This Row],[30Day_Readmission]]="Yes",1,0)</f>
        <v>0</v>
      </c>
      <c r="Y130" t="str" cm="1">
        <f t="array" ref="Y13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30" t="str" cm="1">
        <f t="array" ref="Z130">_xlfn.IFS(Merged_Clinical_Finance_Data[[#This Row],[Length_of_Stay_Days]]&lt;3,"Short (&lt;3)",Merged_Clinical_Finance_Data[[#This Row],[Length_of_Stay_Days]]&lt;=7,"Medium (3-7)",TRUE,"Long (&gt;7)")</f>
        <v>Medium (3-7)</v>
      </c>
      <c r="AA130" s="3">
        <f>EOMONTH(Merged_Clinical_Finance_Data[[#This Row],[Admission_Date]],-1)+1</f>
        <v>45809</v>
      </c>
      <c r="AB130" s="1">
        <f>Merged_Clinical_Finance_Data[[#This Row],[Daily_Bed_Cost_GBP]]*Merged_Clinical_Finance_Data[[#This Row],[Length_of_Stay_Days]]</f>
        <v>2520</v>
      </c>
      <c r="AC130" t="str">
        <f>IF(Merged_Clinical_Finance_Data[[#This Row],[Total_Encounter_Cost_Naira]]&gt;AVERAGE(Merged_Clinical_Finance_Data[[#This Row],[Total_Encounter_Cost_Naira]]),"High","Normal")</f>
        <v>Normal</v>
      </c>
    </row>
    <row r="131" spans="1:29" x14ac:dyDescent="0.25">
      <c r="A131" t="s">
        <v>254</v>
      </c>
      <c r="B131" t="s">
        <v>30</v>
      </c>
      <c r="C131" t="s">
        <v>31</v>
      </c>
      <c r="D131" t="s">
        <v>42</v>
      </c>
      <c r="E131" s="3">
        <v>45904</v>
      </c>
      <c r="F131" s="3">
        <v>45909</v>
      </c>
      <c r="G131">
        <v>5.3</v>
      </c>
      <c r="H131">
        <v>73</v>
      </c>
      <c r="I131" t="s">
        <v>43</v>
      </c>
      <c r="J131" t="s">
        <v>61</v>
      </c>
      <c r="K131" t="s">
        <v>35</v>
      </c>
      <c r="L131" t="s">
        <v>46</v>
      </c>
      <c r="M131" t="s">
        <v>47</v>
      </c>
      <c r="N131" t="s">
        <v>38</v>
      </c>
      <c r="O131">
        <v>15</v>
      </c>
      <c r="P131">
        <v>30</v>
      </c>
      <c r="Q131">
        <v>0.5</v>
      </c>
      <c r="R131">
        <v>510</v>
      </c>
      <c r="S131" s="1">
        <v>2703</v>
      </c>
      <c r="T131" t="s">
        <v>64</v>
      </c>
      <c r="U131" t="s">
        <v>65</v>
      </c>
      <c r="V131" s="1">
        <v>3179.45</v>
      </c>
      <c r="W131" s="2">
        <f>Merged_Clinical_Finance_Data[[#This Row],[Occupied_Beds]]/Merged_Clinical_Finance_Data[[#This Row],[Total_Beds]]</f>
        <v>0.5</v>
      </c>
      <c r="X131">
        <f>IF(Merged_Clinical_Finance_Data[[#This Row],[30Day_Readmission]]="Yes",1,0)</f>
        <v>0</v>
      </c>
      <c r="Y131" t="str" cm="1">
        <f t="array" ref="Y13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31" t="str" cm="1">
        <f t="array" ref="Z131">_xlfn.IFS(Merged_Clinical_Finance_Data[[#This Row],[Length_of_Stay_Days]]&lt;3,"Short (&lt;3)",Merged_Clinical_Finance_Data[[#This Row],[Length_of_Stay_Days]]&lt;=7,"Medium (3-7)",TRUE,"Long (&gt;7)")</f>
        <v>Medium (3-7)</v>
      </c>
      <c r="AA131" s="3">
        <f>EOMONTH(Merged_Clinical_Finance_Data[[#This Row],[Admission_Date]],-1)+1</f>
        <v>45901</v>
      </c>
      <c r="AB131" s="1">
        <f>Merged_Clinical_Finance_Data[[#This Row],[Daily_Bed_Cost_GBP]]*Merged_Clinical_Finance_Data[[#This Row],[Length_of_Stay_Days]]</f>
        <v>2703</v>
      </c>
      <c r="AC131" t="str">
        <f>IF(Merged_Clinical_Finance_Data[[#This Row],[Total_Encounter_Cost_Naira]]&gt;AVERAGE(Merged_Clinical_Finance_Data[[#This Row],[Total_Encounter_Cost_Naira]]),"High","Normal")</f>
        <v>Normal</v>
      </c>
    </row>
    <row r="132" spans="1:29" x14ac:dyDescent="0.25">
      <c r="A132" t="s">
        <v>255</v>
      </c>
      <c r="B132" t="s">
        <v>67</v>
      </c>
      <c r="C132" t="s">
        <v>68</v>
      </c>
      <c r="D132" t="s">
        <v>32</v>
      </c>
      <c r="E132" s="3">
        <v>45808</v>
      </c>
      <c r="F132" s="3">
        <v>45810</v>
      </c>
      <c r="G132">
        <v>2</v>
      </c>
      <c r="H132">
        <v>86</v>
      </c>
      <c r="I132" t="s">
        <v>33</v>
      </c>
      <c r="J132" t="s">
        <v>51</v>
      </c>
      <c r="K132" t="s">
        <v>76</v>
      </c>
      <c r="L132" t="s">
        <v>167</v>
      </c>
      <c r="M132" t="s">
        <v>47</v>
      </c>
      <c r="N132" t="s">
        <v>38</v>
      </c>
      <c r="O132">
        <v>14</v>
      </c>
      <c r="P132">
        <v>30</v>
      </c>
      <c r="Q132">
        <v>0.4667</v>
      </c>
      <c r="R132">
        <v>350</v>
      </c>
      <c r="S132" s="1">
        <v>700</v>
      </c>
      <c r="T132" t="s">
        <v>89</v>
      </c>
      <c r="U132" t="s">
        <v>90</v>
      </c>
      <c r="V132" s="1">
        <v>6963.09</v>
      </c>
      <c r="W132" s="2">
        <f>Merged_Clinical_Finance_Data[[#This Row],[Occupied_Beds]]/Merged_Clinical_Finance_Data[[#This Row],[Total_Beds]]</f>
        <v>0.46666666666666667</v>
      </c>
      <c r="X132">
        <f>IF(Merged_Clinical_Finance_Data[[#This Row],[30Day_Readmission]]="Yes",1,0)</f>
        <v>0</v>
      </c>
      <c r="Y132" t="str" cm="1">
        <f t="array" ref="Y13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132" t="str" cm="1">
        <f t="array" ref="Z132">_xlfn.IFS(Merged_Clinical_Finance_Data[[#This Row],[Length_of_Stay_Days]]&lt;3,"Short (&lt;3)",Merged_Clinical_Finance_Data[[#This Row],[Length_of_Stay_Days]]&lt;=7,"Medium (3-7)",TRUE,"Long (&gt;7)")</f>
        <v>Short (&lt;3)</v>
      </c>
      <c r="AA132" s="3">
        <f>EOMONTH(Merged_Clinical_Finance_Data[[#This Row],[Admission_Date]],-1)+1</f>
        <v>45778</v>
      </c>
      <c r="AB132" s="1">
        <f>Merged_Clinical_Finance_Data[[#This Row],[Daily_Bed_Cost_GBP]]*Merged_Clinical_Finance_Data[[#This Row],[Length_of_Stay_Days]]</f>
        <v>700</v>
      </c>
      <c r="AC132" t="str">
        <f>IF(Merged_Clinical_Finance_Data[[#This Row],[Total_Encounter_Cost_Naira]]&gt;AVERAGE(Merged_Clinical_Finance_Data[[#This Row],[Total_Encounter_Cost_Naira]]),"High","Normal")</f>
        <v>Normal</v>
      </c>
    </row>
    <row r="133" spans="1:29" x14ac:dyDescent="0.25">
      <c r="A133" t="s">
        <v>256</v>
      </c>
      <c r="B133" t="s">
        <v>107</v>
      </c>
      <c r="C133" t="s">
        <v>108</v>
      </c>
      <c r="D133" t="s">
        <v>60</v>
      </c>
      <c r="E133" s="3">
        <v>45875</v>
      </c>
      <c r="F133" s="3">
        <v>45879</v>
      </c>
      <c r="G133">
        <v>4.3</v>
      </c>
      <c r="H133">
        <v>59</v>
      </c>
      <c r="I133" t="s">
        <v>33</v>
      </c>
      <c r="J133" t="s">
        <v>51</v>
      </c>
      <c r="K133" t="s">
        <v>109</v>
      </c>
      <c r="L133" t="s">
        <v>110</v>
      </c>
      <c r="M133" t="s">
        <v>47</v>
      </c>
      <c r="N133" t="s">
        <v>38</v>
      </c>
      <c r="O133">
        <v>26</v>
      </c>
      <c r="P133">
        <v>30</v>
      </c>
      <c r="Q133">
        <v>0.86670000000000003</v>
      </c>
      <c r="R133">
        <v>425</v>
      </c>
      <c r="S133" s="1">
        <v>1827.5</v>
      </c>
      <c r="T133" t="s">
        <v>39</v>
      </c>
      <c r="U133" t="s">
        <v>40</v>
      </c>
      <c r="V133" s="1">
        <v>2843.95</v>
      </c>
      <c r="W133" s="2">
        <f>Merged_Clinical_Finance_Data[[#This Row],[Occupied_Beds]]/Merged_Clinical_Finance_Data[[#This Row],[Total_Beds]]</f>
        <v>0.8666666666666667</v>
      </c>
      <c r="X133">
        <f>IF(Merged_Clinical_Finance_Data[[#This Row],[30Day_Readmission]]="Yes",1,0)</f>
        <v>0</v>
      </c>
      <c r="Y133" t="str" cm="1">
        <f t="array" ref="Y13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33" t="str" cm="1">
        <f t="array" ref="Z133">_xlfn.IFS(Merged_Clinical_Finance_Data[[#This Row],[Length_of_Stay_Days]]&lt;3,"Short (&lt;3)",Merged_Clinical_Finance_Data[[#This Row],[Length_of_Stay_Days]]&lt;=7,"Medium (3-7)",TRUE,"Long (&gt;7)")</f>
        <v>Medium (3-7)</v>
      </c>
      <c r="AA133" s="3">
        <f>EOMONTH(Merged_Clinical_Finance_Data[[#This Row],[Admission_Date]],-1)+1</f>
        <v>45870</v>
      </c>
      <c r="AB133" s="1">
        <f>Merged_Clinical_Finance_Data[[#This Row],[Daily_Bed_Cost_GBP]]*Merged_Clinical_Finance_Data[[#This Row],[Length_of_Stay_Days]]</f>
        <v>1827.5</v>
      </c>
      <c r="AC133" t="str">
        <f>IF(Merged_Clinical_Finance_Data[[#This Row],[Total_Encounter_Cost_Naira]]&gt;AVERAGE(Merged_Clinical_Finance_Data[[#This Row],[Total_Encounter_Cost_Naira]]),"High","Normal")</f>
        <v>Normal</v>
      </c>
    </row>
    <row r="134" spans="1:29" x14ac:dyDescent="0.25">
      <c r="A134" t="s">
        <v>257</v>
      </c>
      <c r="B134" t="s">
        <v>102</v>
      </c>
      <c r="C134" t="s">
        <v>103</v>
      </c>
      <c r="D134" t="s">
        <v>42</v>
      </c>
      <c r="E134" s="3">
        <v>46001</v>
      </c>
      <c r="F134" s="3">
        <v>46001</v>
      </c>
      <c r="G134">
        <v>0.6</v>
      </c>
      <c r="H134">
        <v>51</v>
      </c>
      <c r="I134" t="s">
        <v>33</v>
      </c>
      <c r="J134" t="s">
        <v>51</v>
      </c>
      <c r="K134" t="s">
        <v>104</v>
      </c>
      <c r="L134" t="s">
        <v>209</v>
      </c>
      <c r="M134" t="s">
        <v>47</v>
      </c>
      <c r="N134" t="s">
        <v>38</v>
      </c>
      <c r="O134">
        <v>24</v>
      </c>
      <c r="P134">
        <v>30</v>
      </c>
      <c r="Q134">
        <v>0.8</v>
      </c>
      <c r="R134">
        <v>350</v>
      </c>
      <c r="S134" s="1">
        <v>210</v>
      </c>
      <c r="T134" t="s">
        <v>89</v>
      </c>
      <c r="U134" t="s">
        <v>90</v>
      </c>
      <c r="V134" s="1">
        <v>8772.2800000000007</v>
      </c>
      <c r="W134" s="2">
        <f>Merged_Clinical_Finance_Data[[#This Row],[Occupied_Beds]]/Merged_Clinical_Finance_Data[[#This Row],[Total_Beds]]</f>
        <v>0.8</v>
      </c>
      <c r="X134">
        <f>IF(Merged_Clinical_Finance_Data[[#This Row],[30Day_Readmission]]="Yes",1,0)</f>
        <v>0</v>
      </c>
      <c r="Y134" t="str" cm="1">
        <f t="array" ref="Y13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34" t="str" cm="1">
        <f t="array" ref="Z134">_xlfn.IFS(Merged_Clinical_Finance_Data[[#This Row],[Length_of_Stay_Days]]&lt;3,"Short (&lt;3)",Merged_Clinical_Finance_Data[[#This Row],[Length_of_Stay_Days]]&lt;=7,"Medium (3-7)",TRUE,"Long (&gt;7)")</f>
        <v>Short (&lt;3)</v>
      </c>
      <c r="AA134" s="3">
        <f>EOMONTH(Merged_Clinical_Finance_Data[[#This Row],[Admission_Date]],-1)+1</f>
        <v>45992</v>
      </c>
      <c r="AB134" s="1">
        <f>Merged_Clinical_Finance_Data[[#This Row],[Daily_Bed_Cost_GBP]]*Merged_Clinical_Finance_Data[[#This Row],[Length_of_Stay_Days]]</f>
        <v>210</v>
      </c>
      <c r="AC134" t="str">
        <f>IF(Merged_Clinical_Finance_Data[[#This Row],[Total_Encounter_Cost_Naira]]&gt;AVERAGE(Merged_Clinical_Finance_Data[[#This Row],[Total_Encounter_Cost_Naira]]),"High","Normal")</f>
        <v>Normal</v>
      </c>
    </row>
    <row r="135" spans="1:29" x14ac:dyDescent="0.25">
      <c r="A135" t="s">
        <v>258</v>
      </c>
      <c r="B135" t="s">
        <v>49</v>
      </c>
      <c r="C135" t="s">
        <v>50</v>
      </c>
      <c r="D135" t="s">
        <v>42</v>
      </c>
      <c r="E135" s="3">
        <v>45769</v>
      </c>
      <c r="F135" s="3">
        <v>45777</v>
      </c>
      <c r="G135">
        <v>8.5</v>
      </c>
      <c r="H135">
        <v>63</v>
      </c>
      <c r="I135" t="s">
        <v>43</v>
      </c>
      <c r="J135" t="s">
        <v>73</v>
      </c>
      <c r="K135" t="s">
        <v>143</v>
      </c>
      <c r="L135" t="s">
        <v>150</v>
      </c>
      <c r="M135" t="s">
        <v>74</v>
      </c>
      <c r="N135" t="s">
        <v>38</v>
      </c>
      <c r="O135">
        <v>13</v>
      </c>
      <c r="P135">
        <v>30</v>
      </c>
      <c r="Q135">
        <v>0.43330000000000002</v>
      </c>
      <c r="R135">
        <v>350</v>
      </c>
      <c r="S135" s="1">
        <v>2975</v>
      </c>
      <c r="T135" t="s">
        <v>39</v>
      </c>
      <c r="U135" t="s">
        <v>40</v>
      </c>
      <c r="V135" s="1">
        <v>1363.91</v>
      </c>
      <c r="W135" s="2">
        <f>Merged_Clinical_Finance_Data[[#This Row],[Occupied_Beds]]/Merged_Clinical_Finance_Data[[#This Row],[Total_Beds]]</f>
        <v>0.43333333333333335</v>
      </c>
      <c r="X135">
        <f>IF(Merged_Clinical_Finance_Data[[#This Row],[30Day_Readmission]]="Yes",1,0)</f>
        <v>0</v>
      </c>
      <c r="Y135" t="str" cm="1">
        <f t="array" ref="Y13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35" t="str" cm="1">
        <f t="array" ref="Z135">_xlfn.IFS(Merged_Clinical_Finance_Data[[#This Row],[Length_of_Stay_Days]]&lt;3,"Short (&lt;3)",Merged_Clinical_Finance_Data[[#This Row],[Length_of_Stay_Days]]&lt;=7,"Medium (3-7)",TRUE,"Long (&gt;7)")</f>
        <v>Long (&gt;7)</v>
      </c>
      <c r="AA135" s="3">
        <f>EOMONTH(Merged_Clinical_Finance_Data[[#This Row],[Admission_Date]],-1)+1</f>
        <v>45748</v>
      </c>
      <c r="AB135" s="1">
        <f>Merged_Clinical_Finance_Data[[#This Row],[Daily_Bed_Cost_GBP]]*Merged_Clinical_Finance_Data[[#This Row],[Length_of_Stay_Days]]</f>
        <v>2975</v>
      </c>
      <c r="AC135" t="str">
        <f>IF(Merged_Clinical_Finance_Data[[#This Row],[Total_Encounter_Cost_Naira]]&gt;AVERAGE(Merged_Clinical_Finance_Data[[#This Row],[Total_Encounter_Cost_Naira]]),"High","Normal")</f>
        <v>Normal</v>
      </c>
    </row>
    <row r="136" spans="1:29" x14ac:dyDescent="0.25">
      <c r="A136" t="s">
        <v>259</v>
      </c>
      <c r="B136" t="s">
        <v>79</v>
      </c>
      <c r="C136" t="s">
        <v>80</v>
      </c>
      <c r="D136" t="s">
        <v>42</v>
      </c>
      <c r="E136" s="3">
        <v>45841</v>
      </c>
      <c r="F136" s="3">
        <v>45844</v>
      </c>
      <c r="G136">
        <v>3.5</v>
      </c>
      <c r="H136">
        <v>18</v>
      </c>
      <c r="I136" t="s">
        <v>33</v>
      </c>
      <c r="J136" t="s">
        <v>44</v>
      </c>
      <c r="K136" t="s">
        <v>82</v>
      </c>
      <c r="L136" t="s">
        <v>99</v>
      </c>
      <c r="M136" t="s">
        <v>47</v>
      </c>
      <c r="N136" t="s">
        <v>38</v>
      </c>
      <c r="O136">
        <v>13</v>
      </c>
      <c r="P136">
        <v>30</v>
      </c>
      <c r="Q136">
        <v>0.43330000000000002</v>
      </c>
      <c r="R136">
        <v>350</v>
      </c>
      <c r="S136" s="1">
        <v>1225</v>
      </c>
      <c r="T136" t="s">
        <v>64</v>
      </c>
      <c r="U136" t="s">
        <v>65</v>
      </c>
      <c r="V136" s="1">
        <v>1846.33</v>
      </c>
      <c r="W136" s="2">
        <f>Merged_Clinical_Finance_Data[[#This Row],[Occupied_Beds]]/Merged_Clinical_Finance_Data[[#This Row],[Total_Beds]]</f>
        <v>0.43333333333333335</v>
      </c>
      <c r="X136">
        <f>IF(Merged_Clinical_Finance_Data[[#This Row],[30Day_Readmission]]="Yes",1,0)</f>
        <v>0</v>
      </c>
      <c r="Y136" t="str" cm="1">
        <f t="array" ref="Y13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36" t="str" cm="1">
        <f t="array" ref="Z136">_xlfn.IFS(Merged_Clinical_Finance_Data[[#This Row],[Length_of_Stay_Days]]&lt;3,"Short (&lt;3)",Merged_Clinical_Finance_Data[[#This Row],[Length_of_Stay_Days]]&lt;=7,"Medium (3-7)",TRUE,"Long (&gt;7)")</f>
        <v>Medium (3-7)</v>
      </c>
      <c r="AA136" s="3">
        <f>EOMONTH(Merged_Clinical_Finance_Data[[#This Row],[Admission_Date]],-1)+1</f>
        <v>45839</v>
      </c>
      <c r="AB136" s="1">
        <f>Merged_Clinical_Finance_Data[[#This Row],[Daily_Bed_Cost_GBP]]*Merged_Clinical_Finance_Data[[#This Row],[Length_of_Stay_Days]]</f>
        <v>1225</v>
      </c>
      <c r="AC136" t="str">
        <f>IF(Merged_Clinical_Finance_Data[[#This Row],[Total_Encounter_Cost_Naira]]&gt;AVERAGE(Merged_Clinical_Finance_Data[[#This Row],[Total_Encounter_Cost_Naira]]),"High","Normal")</f>
        <v>Normal</v>
      </c>
    </row>
    <row r="137" spans="1:29" x14ac:dyDescent="0.25">
      <c r="A137" t="s">
        <v>260</v>
      </c>
      <c r="B137" t="s">
        <v>30</v>
      </c>
      <c r="C137" t="s">
        <v>31</v>
      </c>
      <c r="D137" t="s">
        <v>42</v>
      </c>
      <c r="E137" s="3">
        <v>45744</v>
      </c>
      <c r="F137" s="3">
        <v>45751</v>
      </c>
      <c r="G137">
        <v>7.2</v>
      </c>
      <c r="H137">
        <v>76</v>
      </c>
      <c r="I137" t="s">
        <v>33</v>
      </c>
      <c r="J137" t="s">
        <v>51</v>
      </c>
      <c r="K137" t="s">
        <v>35</v>
      </c>
      <c r="L137" t="s">
        <v>46</v>
      </c>
      <c r="M137" t="s">
        <v>47</v>
      </c>
      <c r="N137" t="s">
        <v>38</v>
      </c>
      <c r="O137">
        <v>21</v>
      </c>
      <c r="P137">
        <v>30</v>
      </c>
      <c r="Q137">
        <v>0.7</v>
      </c>
      <c r="R137">
        <v>375</v>
      </c>
      <c r="S137" s="1">
        <v>2700</v>
      </c>
      <c r="T137" t="s">
        <v>89</v>
      </c>
      <c r="U137" t="s">
        <v>90</v>
      </c>
      <c r="V137" s="1">
        <v>3321.55</v>
      </c>
      <c r="W137" s="2">
        <f>Merged_Clinical_Finance_Data[[#This Row],[Occupied_Beds]]/Merged_Clinical_Finance_Data[[#This Row],[Total_Beds]]</f>
        <v>0.7</v>
      </c>
      <c r="X137">
        <f>IF(Merged_Clinical_Finance_Data[[#This Row],[30Day_Readmission]]="Yes",1,0)</f>
        <v>0</v>
      </c>
      <c r="Y137" t="str" cm="1">
        <f t="array" ref="Y13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37" t="str" cm="1">
        <f t="array" ref="Z137">_xlfn.IFS(Merged_Clinical_Finance_Data[[#This Row],[Length_of_Stay_Days]]&lt;3,"Short (&lt;3)",Merged_Clinical_Finance_Data[[#This Row],[Length_of_Stay_Days]]&lt;=7,"Medium (3-7)",TRUE,"Long (&gt;7)")</f>
        <v>Long (&gt;7)</v>
      </c>
      <c r="AA137" s="3">
        <f>EOMONTH(Merged_Clinical_Finance_Data[[#This Row],[Admission_Date]],-1)+1</f>
        <v>45717</v>
      </c>
      <c r="AB137" s="1">
        <f>Merged_Clinical_Finance_Data[[#This Row],[Daily_Bed_Cost_GBP]]*Merged_Clinical_Finance_Data[[#This Row],[Length_of_Stay_Days]]</f>
        <v>2700</v>
      </c>
      <c r="AC137" t="str">
        <f>IF(Merged_Clinical_Finance_Data[[#This Row],[Total_Encounter_Cost_Naira]]&gt;AVERAGE(Merged_Clinical_Finance_Data[[#This Row],[Total_Encounter_Cost_Naira]]),"High","Normal")</f>
        <v>Normal</v>
      </c>
    </row>
    <row r="138" spans="1:29" x14ac:dyDescent="0.25">
      <c r="A138" t="s">
        <v>261</v>
      </c>
      <c r="B138" t="s">
        <v>102</v>
      </c>
      <c r="C138" t="s">
        <v>103</v>
      </c>
      <c r="D138" t="s">
        <v>32</v>
      </c>
      <c r="E138" s="3">
        <v>45687</v>
      </c>
      <c r="F138" s="3">
        <v>45687</v>
      </c>
      <c r="G138">
        <v>0.6</v>
      </c>
      <c r="H138">
        <v>32</v>
      </c>
      <c r="I138" t="s">
        <v>43</v>
      </c>
      <c r="J138" t="s">
        <v>81</v>
      </c>
      <c r="K138" t="s">
        <v>104</v>
      </c>
      <c r="L138" t="s">
        <v>105</v>
      </c>
      <c r="M138" t="s">
        <v>47</v>
      </c>
      <c r="N138" t="s">
        <v>38</v>
      </c>
      <c r="O138">
        <v>21</v>
      </c>
      <c r="P138">
        <v>30</v>
      </c>
      <c r="Q138">
        <v>0.7</v>
      </c>
      <c r="R138">
        <v>400</v>
      </c>
      <c r="S138" s="1">
        <v>240</v>
      </c>
      <c r="T138" t="s">
        <v>39</v>
      </c>
      <c r="U138" t="s">
        <v>40</v>
      </c>
      <c r="V138" s="1">
        <v>1338.94</v>
      </c>
      <c r="W138" s="2">
        <f>Merged_Clinical_Finance_Data[[#This Row],[Occupied_Beds]]/Merged_Clinical_Finance_Data[[#This Row],[Total_Beds]]</f>
        <v>0.7</v>
      </c>
      <c r="X138">
        <f>IF(Merged_Clinical_Finance_Data[[#This Row],[30Day_Readmission]]="Yes",1,0)</f>
        <v>0</v>
      </c>
      <c r="Y138" t="str" cm="1">
        <f t="array" ref="Y13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38" t="str" cm="1">
        <f t="array" ref="Z138">_xlfn.IFS(Merged_Clinical_Finance_Data[[#This Row],[Length_of_Stay_Days]]&lt;3,"Short (&lt;3)",Merged_Clinical_Finance_Data[[#This Row],[Length_of_Stay_Days]]&lt;=7,"Medium (3-7)",TRUE,"Long (&gt;7)")</f>
        <v>Short (&lt;3)</v>
      </c>
      <c r="AA138" s="3">
        <f>EOMONTH(Merged_Clinical_Finance_Data[[#This Row],[Admission_Date]],-1)+1</f>
        <v>45658</v>
      </c>
      <c r="AB138" s="1">
        <f>Merged_Clinical_Finance_Data[[#This Row],[Daily_Bed_Cost_GBP]]*Merged_Clinical_Finance_Data[[#This Row],[Length_of_Stay_Days]]</f>
        <v>240</v>
      </c>
      <c r="AC138" t="str">
        <f>IF(Merged_Clinical_Finance_Data[[#This Row],[Total_Encounter_Cost_Naira]]&gt;AVERAGE(Merged_Clinical_Finance_Data[[#This Row],[Total_Encounter_Cost_Naira]]),"High","Normal")</f>
        <v>Normal</v>
      </c>
    </row>
    <row r="139" spans="1:29" x14ac:dyDescent="0.25">
      <c r="A139" t="s">
        <v>262</v>
      </c>
      <c r="B139" t="s">
        <v>114</v>
      </c>
      <c r="C139" t="s">
        <v>115</v>
      </c>
      <c r="D139" t="s">
        <v>42</v>
      </c>
      <c r="E139" s="3">
        <v>45849</v>
      </c>
      <c r="F139" s="3">
        <v>45851</v>
      </c>
      <c r="G139">
        <v>2.8</v>
      </c>
      <c r="H139">
        <v>66</v>
      </c>
      <c r="I139" t="s">
        <v>43</v>
      </c>
      <c r="J139" t="s">
        <v>51</v>
      </c>
      <c r="K139" t="s">
        <v>116</v>
      </c>
      <c r="L139" t="s">
        <v>117</v>
      </c>
      <c r="M139" t="s">
        <v>54</v>
      </c>
      <c r="N139" t="s">
        <v>38</v>
      </c>
      <c r="O139">
        <v>28</v>
      </c>
      <c r="P139">
        <v>30</v>
      </c>
      <c r="Q139">
        <v>0.93330000000000002</v>
      </c>
      <c r="R139">
        <v>480</v>
      </c>
      <c r="S139" s="1">
        <v>1344</v>
      </c>
      <c r="T139" t="s">
        <v>96</v>
      </c>
      <c r="U139" t="s">
        <v>97</v>
      </c>
      <c r="V139" s="1">
        <v>3382.13</v>
      </c>
      <c r="W139" s="2">
        <f>Merged_Clinical_Finance_Data[[#This Row],[Occupied_Beds]]/Merged_Clinical_Finance_Data[[#This Row],[Total_Beds]]</f>
        <v>0.93333333333333335</v>
      </c>
      <c r="X139">
        <f>IF(Merged_Clinical_Finance_Data[[#This Row],[30Day_Readmission]]="Yes",1,0)</f>
        <v>0</v>
      </c>
      <c r="Y139" t="str" cm="1">
        <f t="array" ref="Y13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39" t="str" cm="1">
        <f t="array" ref="Z139">_xlfn.IFS(Merged_Clinical_Finance_Data[[#This Row],[Length_of_Stay_Days]]&lt;3,"Short (&lt;3)",Merged_Clinical_Finance_Data[[#This Row],[Length_of_Stay_Days]]&lt;=7,"Medium (3-7)",TRUE,"Long (&gt;7)")</f>
        <v>Short (&lt;3)</v>
      </c>
      <c r="AA139" s="3">
        <f>EOMONTH(Merged_Clinical_Finance_Data[[#This Row],[Admission_Date]],-1)+1</f>
        <v>45839</v>
      </c>
      <c r="AB139" s="1">
        <f>Merged_Clinical_Finance_Data[[#This Row],[Daily_Bed_Cost_GBP]]*Merged_Clinical_Finance_Data[[#This Row],[Length_of_Stay_Days]]</f>
        <v>1344</v>
      </c>
      <c r="AC139" t="str">
        <f>IF(Merged_Clinical_Finance_Data[[#This Row],[Total_Encounter_Cost_Naira]]&gt;AVERAGE(Merged_Clinical_Finance_Data[[#This Row],[Total_Encounter_Cost_Naira]]),"High","Normal")</f>
        <v>Normal</v>
      </c>
    </row>
    <row r="140" spans="1:29" x14ac:dyDescent="0.25">
      <c r="A140" t="s">
        <v>263</v>
      </c>
      <c r="B140" t="s">
        <v>107</v>
      </c>
      <c r="C140" t="s">
        <v>108</v>
      </c>
      <c r="D140" t="s">
        <v>42</v>
      </c>
      <c r="E140" s="3">
        <v>45944</v>
      </c>
      <c r="F140" s="3">
        <v>45946</v>
      </c>
      <c r="G140">
        <v>2.9</v>
      </c>
      <c r="H140">
        <v>59</v>
      </c>
      <c r="I140" t="s">
        <v>33</v>
      </c>
      <c r="J140" t="s">
        <v>44</v>
      </c>
      <c r="K140" t="s">
        <v>109</v>
      </c>
      <c r="L140" t="s">
        <v>110</v>
      </c>
      <c r="M140" t="s">
        <v>54</v>
      </c>
      <c r="N140" t="s">
        <v>38</v>
      </c>
      <c r="O140">
        <v>18</v>
      </c>
      <c r="P140">
        <v>30</v>
      </c>
      <c r="Q140">
        <v>0.6</v>
      </c>
      <c r="R140">
        <v>425</v>
      </c>
      <c r="S140" s="1">
        <v>1232.5</v>
      </c>
      <c r="T140" t="s">
        <v>55</v>
      </c>
      <c r="U140" t="s">
        <v>56</v>
      </c>
      <c r="V140" s="1">
        <v>934.74</v>
      </c>
      <c r="W140" s="2">
        <f>Merged_Clinical_Finance_Data[[#This Row],[Occupied_Beds]]/Merged_Clinical_Finance_Data[[#This Row],[Total_Beds]]</f>
        <v>0.6</v>
      </c>
      <c r="X140">
        <f>IF(Merged_Clinical_Finance_Data[[#This Row],[30Day_Readmission]]="Yes",1,0)</f>
        <v>0</v>
      </c>
      <c r="Y140" t="str" cm="1">
        <f t="array" ref="Y14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40" t="str" cm="1">
        <f t="array" ref="Z140">_xlfn.IFS(Merged_Clinical_Finance_Data[[#This Row],[Length_of_Stay_Days]]&lt;3,"Short (&lt;3)",Merged_Clinical_Finance_Data[[#This Row],[Length_of_Stay_Days]]&lt;=7,"Medium (3-7)",TRUE,"Long (&gt;7)")</f>
        <v>Short (&lt;3)</v>
      </c>
      <c r="AA140" s="3">
        <f>EOMONTH(Merged_Clinical_Finance_Data[[#This Row],[Admission_Date]],-1)+1</f>
        <v>45931</v>
      </c>
      <c r="AB140" s="1">
        <f>Merged_Clinical_Finance_Data[[#This Row],[Daily_Bed_Cost_GBP]]*Merged_Clinical_Finance_Data[[#This Row],[Length_of_Stay_Days]]</f>
        <v>1232.5</v>
      </c>
      <c r="AC140" t="str">
        <f>IF(Merged_Clinical_Finance_Data[[#This Row],[Total_Encounter_Cost_Naira]]&gt;AVERAGE(Merged_Clinical_Finance_Data[[#This Row],[Total_Encounter_Cost_Naira]]),"High","Normal")</f>
        <v>Normal</v>
      </c>
    </row>
    <row r="141" spans="1:29" x14ac:dyDescent="0.25">
      <c r="A141" t="s">
        <v>264</v>
      </c>
      <c r="B141" t="s">
        <v>49</v>
      </c>
      <c r="C141" t="s">
        <v>50</v>
      </c>
      <c r="D141" t="s">
        <v>42</v>
      </c>
      <c r="E141" s="3">
        <v>45808</v>
      </c>
      <c r="F141" s="3">
        <v>45814</v>
      </c>
      <c r="G141">
        <v>6.5</v>
      </c>
      <c r="H141">
        <v>30</v>
      </c>
      <c r="I141" t="s">
        <v>43</v>
      </c>
      <c r="J141" t="s">
        <v>34</v>
      </c>
      <c r="K141" t="s">
        <v>52</v>
      </c>
      <c r="L141" t="s">
        <v>53</v>
      </c>
      <c r="M141" t="s">
        <v>47</v>
      </c>
      <c r="N141" t="s">
        <v>38</v>
      </c>
      <c r="O141">
        <v>19</v>
      </c>
      <c r="P141">
        <v>30</v>
      </c>
      <c r="Q141">
        <v>0.63329999999999997</v>
      </c>
      <c r="R141">
        <v>400</v>
      </c>
      <c r="S141" s="1">
        <v>2600</v>
      </c>
      <c r="T141" t="s">
        <v>39</v>
      </c>
      <c r="U141" t="s">
        <v>40</v>
      </c>
      <c r="V141" s="1">
        <v>1116.93</v>
      </c>
      <c r="W141" s="2">
        <f>Merged_Clinical_Finance_Data[[#This Row],[Occupied_Beds]]/Merged_Clinical_Finance_Data[[#This Row],[Total_Beds]]</f>
        <v>0.6333333333333333</v>
      </c>
      <c r="X141">
        <f>IF(Merged_Clinical_Finance_Data[[#This Row],[30Day_Readmission]]="Yes",1,0)</f>
        <v>0</v>
      </c>
      <c r="Y141" t="str" cm="1">
        <f t="array" ref="Y14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41" t="str" cm="1">
        <f t="array" ref="Z141">_xlfn.IFS(Merged_Clinical_Finance_Data[[#This Row],[Length_of_Stay_Days]]&lt;3,"Short (&lt;3)",Merged_Clinical_Finance_Data[[#This Row],[Length_of_Stay_Days]]&lt;=7,"Medium (3-7)",TRUE,"Long (&gt;7)")</f>
        <v>Medium (3-7)</v>
      </c>
      <c r="AA141" s="3">
        <f>EOMONTH(Merged_Clinical_Finance_Data[[#This Row],[Admission_Date]],-1)+1</f>
        <v>45778</v>
      </c>
      <c r="AB141" s="1">
        <f>Merged_Clinical_Finance_Data[[#This Row],[Daily_Bed_Cost_GBP]]*Merged_Clinical_Finance_Data[[#This Row],[Length_of_Stay_Days]]</f>
        <v>2600</v>
      </c>
      <c r="AC141" t="str">
        <f>IF(Merged_Clinical_Finance_Data[[#This Row],[Total_Encounter_Cost_Naira]]&gt;AVERAGE(Merged_Clinical_Finance_Data[[#This Row],[Total_Encounter_Cost_Naira]]),"High","Normal")</f>
        <v>Normal</v>
      </c>
    </row>
    <row r="142" spans="1:29" x14ac:dyDescent="0.25">
      <c r="A142" t="s">
        <v>265</v>
      </c>
      <c r="B142" t="s">
        <v>102</v>
      </c>
      <c r="C142" t="s">
        <v>103</v>
      </c>
      <c r="D142" t="s">
        <v>32</v>
      </c>
      <c r="E142" s="3">
        <v>45967</v>
      </c>
      <c r="F142" s="3">
        <v>45968</v>
      </c>
      <c r="G142">
        <v>1.7</v>
      </c>
      <c r="H142">
        <v>71</v>
      </c>
      <c r="I142" t="s">
        <v>33</v>
      </c>
      <c r="J142" t="s">
        <v>61</v>
      </c>
      <c r="K142" t="s">
        <v>153</v>
      </c>
      <c r="L142" t="s">
        <v>124</v>
      </c>
      <c r="M142" t="s">
        <v>74</v>
      </c>
      <c r="N142" t="s">
        <v>38</v>
      </c>
      <c r="O142">
        <v>13</v>
      </c>
      <c r="P142">
        <v>30</v>
      </c>
      <c r="Q142">
        <v>0.43330000000000002</v>
      </c>
      <c r="R142">
        <v>510</v>
      </c>
      <c r="S142" s="1">
        <v>867</v>
      </c>
      <c r="T142" t="s">
        <v>111</v>
      </c>
      <c r="U142" t="s">
        <v>112</v>
      </c>
      <c r="V142" s="1">
        <v>1737.55</v>
      </c>
      <c r="W142" s="2">
        <f>Merged_Clinical_Finance_Data[[#This Row],[Occupied_Beds]]/Merged_Clinical_Finance_Data[[#This Row],[Total_Beds]]</f>
        <v>0.43333333333333335</v>
      </c>
      <c r="X142">
        <f>IF(Merged_Clinical_Finance_Data[[#This Row],[30Day_Readmission]]="Yes",1,0)</f>
        <v>0</v>
      </c>
      <c r="Y142" t="str" cm="1">
        <f t="array" ref="Y14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42" t="str" cm="1">
        <f t="array" ref="Z142">_xlfn.IFS(Merged_Clinical_Finance_Data[[#This Row],[Length_of_Stay_Days]]&lt;3,"Short (&lt;3)",Merged_Clinical_Finance_Data[[#This Row],[Length_of_Stay_Days]]&lt;=7,"Medium (3-7)",TRUE,"Long (&gt;7)")</f>
        <v>Short (&lt;3)</v>
      </c>
      <c r="AA142" s="3">
        <f>EOMONTH(Merged_Clinical_Finance_Data[[#This Row],[Admission_Date]],-1)+1</f>
        <v>45962</v>
      </c>
      <c r="AB142" s="1">
        <f>Merged_Clinical_Finance_Data[[#This Row],[Daily_Bed_Cost_GBP]]*Merged_Clinical_Finance_Data[[#This Row],[Length_of_Stay_Days]]</f>
        <v>867</v>
      </c>
      <c r="AC142" t="str">
        <f>IF(Merged_Clinical_Finance_Data[[#This Row],[Total_Encounter_Cost_Naira]]&gt;AVERAGE(Merged_Clinical_Finance_Data[[#This Row],[Total_Encounter_Cost_Naira]]),"High","Normal")</f>
        <v>Normal</v>
      </c>
    </row>
    <row r="143" spans="1:29" x14ac:dyDescent="0.25">
      <c r="A143" t="s">
        <v>266</v>
      </c>
      <c r="B143" t="s">
        <v>49</v>
      </c>
      <c r="C143" t="s">
        <v>50</v>
      </c>
      <c r="D143" t="s">
        <v>42</v>
      </c>
      <c r="E143" s="3">
        <v>45675</v>
      </c>
      <c r="F143" s="3">
        <v>45682</v>
      </c>
      <c r="G143">
        <v>7.1</v>
      </c>
      <c r="H143">
        <v>44</v>
      </c>
      <c r="I143" t="s">
        <v>43</v>
      </c>
      <c r="J143" t="s">
        <v>44</v>
      </c>
      <c r="K143" t="s">
        <v>143</v>
      </c>
      <c r="L143" t="s">
        <v>179</v>
      </c>
      <c r="M143" t="s">
        <v>47</v>
      </c>
      <c r="N143" t="s">
        <v>71</v>
      </c>
      <c r="O143">
        <v>17</v>
      </c>
      <c r="P143">
        <v>30</v>
      </c>
      <c r="Q143">
        <v>0.56669999999999998</v>
      </c>
      <c r="R143">
        <v>350</v>
      </c>
      <c r="S143" s="1">
        <v>2485</v>
      </c>
      <c r="T143" t="s">
        <v>55</v>
      </c>
      <c r="U143" t="s">
        <v>56</v>
      </c>
      <c r="V143" s="1">
        <v>537.91</v>
      </c>
      <c r="W143" s="2">
        <f>Merged_Clinical_Finance_Data[[#This Row],[Occupied_Beds]]/Merged_Clinical_Finance_Data[[#This Row],[Total_Beds]]</f>
        <v>0.56666666666666665</v>
      </c>
      <c r="X143">
        <f>IF(Merged_Clinical_Finance_Data[[#This Row],[30Day_Readmission]]="Yes",1,0)</f>
        <v>1</v>
      </c>
      <c r="Y143" t="str" cm="1">
        <f t="array" ref="Y14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43" t="str" cm="1">
        <f t="array" ref="Z143">_xlfn.IFS(Merged_Clinical_Finance_Data[[#This Row],[Length_of_Stay_Days]]&lt;3,"Short (&lt;3)",Merged_Clinical_Finance_Data[[#This Row],[Length_of_Stay_Days]]&lt;=7,"Medium (3-7)",TRUE,"Long (&gt;7)")</f>
        <v>Long (&gt;7)</v>
      </c>
      <c r="AA143" s="3">
        <f>EOMONTH(Merged_Clinical_Finance_Data[[#This Row],[Admission_Date]],-1)+1</f>
        <v>45658</v>
      </c>
      <c r="AB143" s="1">
        <f>Merged_Clinical_Finance_Data[[#This Row],[Daily_Bed_Cost_GBP]]*Merged_Clinical_Finance_Data[[#This Row],[Length_of_Stay_Days]]</f>
        <v>2485</v>
      </c>
      <c r="AC143" t="str">
        <f>IF(Merged_Clinical_Finance_Data[[#This Row],[Total_Encounter_Cost_Naira]]&gt;AVERAGE(Merged_Clinical_Finance_Data[[#This Row],[Total_Encounter_Cost_Naira]]),"High","Normal")</f>
        <v>Normal</v>
      </c>
    </row>
    <row r="144" spans="1:29" x14ac:dyDescent="0.25">
      <c r="A144" t="s">
        <v>267</v>
      </c>
      <c r="B144" t="s">
        <v>30</v>
      </c>
      <c r="C144" t="s">
        <v>31</v>
      </c>
      <c r="D144" t="s">
        <v>60</v>
      </c>
      <c r="E144" s="3">
        <v>46021</v>
      </c>
      <c r="F144" s="3">
        <v>46029</v>
      </c>
      <c r="G144">
        <v>8.5</v>
      </c>
      <c r="H144">
        <v>49</v>
      </c>
      <c r="I144" t="s">
        <v>33</v>
      </c>
      <c r="J144" t="s">
        <v>34</v>
      </c>
      <c r="K144" t="s">
        <v>35</v>
      </c>
      <c r="L144" t="s">
        <v>92</v>
      </c>
      <c r="M144" t="s">
        <v>74</v>
      </c>
      <c r="N144" t="s">
        <v>38</v>
      </c>
      <c r="O144">
        <v>16</v>
      </c>
      <c r="P144">
        <v>30</v>
      </c>
      <c r="Q144">
        <v>0.5333</v>
      </c>
      <c r="R144">
        <v>375</v>
      </c>
      <c r="S144" s="1">
        <v>3187.5</v>
      </c>
      <c r="T144" t="s">
        <v>111</v>
      </c>
      <c r="U144" t="s">
        <v>112</v>
      </c>
      <c r="V144" s="1">
        <v>2611.8000000000002</v>
      </c>
      <c r="W144" s="2">
        <f>Merged_Clinical_Finance_Data[[#This Row],[Occupied_Beds]]/Merged_Clinical_Finance_Data[[#This Row],[Total_Beds]]</f>
        <v>0.53333333333333333</v>
      </c>
      <c r="X144">
        <f>IF(Merged_Clinical_Finance_Data[[#This Row],[30Day_Readmission]]="Yes",1,0)</f>
        <v>0</v>
      </c>
      <c r="Y144" t="str" cm="1">
        <f t="array" ref="Y14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44" t="str" cm="1">
        <f t="array" ref="Z144">_xlfn.IFS(Merged_Clinical_Finance_Data[[#This Row],[Length_of_Stay_Days]]&lt;3,"Short (&lt;3)",Merged_Clinical_Finance_Data[[#This Row],[Length_of_Stay_Days]]&lt;=7,"Medium (3-7)",TRUE,"Long (&gt;7)")</f>
        <v>Long (&gt;7)</v>
      </c>
      <c r="AA144" s="3">
        <f>EOMONTH(Merged_Clinical_Finance_Data[[#This Row],[Admission_Date]],-1)+1</f>
        <v>45992</v>
      </c>
      <c r="AB144" s="1">
        <f>Merged_Clinical_Finance_Data[[#This Row],[Daily_Bed_Cost_GBP]]*Merged_Clinical_Finance_Data[[#This Row],[Length_of_Stay_Days]]</f>
        <v>3187.5</v>
      </c>
      <c r="AC144" t="str">
        <f>IF(Merged_Clinical_Finance_Data[[#This Row],[Total_Encounter_Cost_Naira]]&gt;AVERAGE(Merged_Clinical_Finance_Data[[#This Row],[Total_Encounter_Cost_Naira]]),"High","Normal")</f>
        <v>Normal</v>
      </c>
    </row>
    <row r="145" spans="1:29" x14ac:dyDescent="0.25">
      <c r="A145" t="s">
        <v>268</v>
      </c>
      <c r="B145" t="s">
        <v>107</v>
      </c>
      <c r="C145" t="s">
        <v>108</v>
      </c>
      <c r="D145" t="s">
        <v>42</v>
      </c>
      <c r="E145" s="3">
        <v>45908</v>
      </c>
      <c r="F145" s="3">
        <v>45914</v>
      </c>
      <c r="G145">
        <v>6</v>
      </c>
      <c r="H145">
        <v>50</v>
      </c>
      <c r="I145" t="s">
        <v>33</v>
      </c>
      <c r="J145" t="s">
        <v>61</v>
      </c>
      <c r="K145" t="s">
        <v>109</v>
      </c>
      <c r="L145" t="s">
        <v>121</v>
      </c>
      <c r="M145" t="s">
        <v>74</v>
      </c>
      <c r="N145" t="s">
        <v>38</v>
      </c>
      <c r="O145">
        <v>12</v>
      </c>
      <c r="P145">
        <v>30</v>
      </c>
      <c r="Q145">
        <v>0.4</v>
      </c>
      <c r="R145">
        <v>510</v>
      </c>
      <c r="S145" s="1">
        <v>3060</v>
      </c>
      <c r="T145" t="s">
        <v>136</v>
      </c>
      <c r="U145" t="s">
        <v>137</v>
      </c>
      <c r="V145" s="1">
        <v>1257.3900000000001</v>
      </c>
      <c r="W145" s="2">
        <f>Merged_Clinical_Finance_Data[[#This Row],[Occupied_Beds]]/Merged_Clinical_Finance_Data[[#This Row],[Total_Beds]]</f>
        <v>0.4</v>
      </c>
      <c r="X145">
        <f>IF(Merged_Clinical_Finance_Data[[#This Row],[30Day_Readmission]]="Yes",1,0)</f>
        <v>0</v>
      </c>
      <c r="Y145" t="str" cm="1">
        <f t="array" ref="Y14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45" t="str" cm="1">
        <f t="array" ref="Z145">_xlfn.IFS(Merged_Clinical_Finance_Data[[#This Row],[Length_of_Stay_Days]]&lt;3,"Short (&lt;3)",Merged_Clinical_Finance_Data[[#This Row],[Length_of_Stay_Days]]&lt;=7,"Medium (3-7)",TRUE,"Long (&gt;7)")</f>
        <v>Medium (3-7)</v>
      </c>
      <c r="AA145" s="3">
        <f>EOMONTH(Merged_Clinical_Finance_Data[[#This Row],[Admission_Date]],-1)+1</f>
        <v>45901</v>
      </c>
      <c r="AB145" s="1">
        <f>Merged_Clinical_Finance_Data[[#This Row],[Daily_Bed_Cost_GBP]]*Merged_Clinical_Finance_Data[[#This Row],[Length_of_Stay_Days]]</f>
        <v>3060</v>
      </c>
      <c r="AC145" t="str">
        <f>IF(Merged_Clinical_Finance_Data[[#This Row],[Total_Encounter_Cost_Naira]]&gt;AVERAGE(Merged_Clinical_Finance_Data[[#This Row],[Total_Encounter_Cost_Naira]]),"High","Normal")</f>
        <v>Normal</v>
      </c>
    </row>
    <row r="146" spans="1:29" x14ac:dyDescent="0.25">
      <c r="A146" t="s">
        <v>269</v>
      </c>
      <c r="B146" t="s">
        <v>102</v>
      </c>
      <c r="C146" t="s">
        <v>103</v>
      </c>
      <c r="D146" t="s">
        <v>32</v>
      </c>
      <c r="E146" s="3">
        <v>45784</v>
      </c>
      <c r="F146" s="3">
        <v>45786</v>
      </c>
      <c r="G146">
        <v>2</v>
      </c>
      <c r="H146">
        <v>43</v>
      </c>
      <c r="I146" t="s">
        <v>33</v>
      </c>
      <c r="J146" t="s">
        <v>51</v>
      </c>
      <c r="K146" t="s">
        <v>104</v>
      </c>
      <c r="L146" t="s">
        <v>124</v>
      </c>
      <c r="M146" t="s">
        <v>74</v>
      </c>
      <c r="N146" t="s">
        <v>71</v>
      </c>
      <c r="O146">
        <v>29</v>
      </c>
      <c r="P146">
        <v>30</v>
      </c>
      <c r="Q146">
        <v>0.9667</v>
      </c>
      <c r="R146">
        <v>480</v>
      </c>
      <c r="S146" s="1">
        <v>960</v>
      </c>
      <c r="T146" t="s">
        <v>111</v>
      </c>
      <c r="U146" t="s">
        <v>112</v>
      </c>
      <c r="V146" s="1">
        <v>1879.79</v>
      </c>
      <c r="W146" s="2">
        <f>Merged_Clinical_Finance_Data[[#This Row],[Occupied_Beds]]/Merged_Clinical_Finance_Data[[#This Row],[Total_Beds]]</f>
        <v>0.96666666666666667</v>
      </c>
      <c r="X146">
        <f>IF(Merged_Clinical_Finance_Data[[#This Row],[30Day_Readmission]]="Yes",1,0)</f>
        <v>1</v>
      </c>
      <c r="Y146" t="str" cm="1">
        <f t="array" ref="Y14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46" t="str" cm="1">
        <f t="array" ref="Z146">_xlfn.IFS(Merged_Clinical_Finance_Data[[#This Row],[Length_of_Stay_Days]]&lt;3,"Short (&lt;3)",Merged_Clinical_Finance_Data[[#This Row],[Length_of_Stay_Days]]&lt;=7,"Medium (3-7)",TRUE,"Long (&gt;7)")</f>
        <v>Short (&lt;3)</v>
      </c>
      <c r="AA146" s="3">
        <f>EOMONTH(Merged_Clinical_Finance_Data[[#This Row],[Admission_Date]],-1)+1</f>
        <v>45778</v>
      </c>
      <c r="AB146" s="1">
        <f>Merged_Clinical_Finance_Data[[#This Row],[Daily_Bed_Cost_GBP]]*Merged_Clinical_Finance_Data[[#This Row],[Length_of_Stay_Days]]</f>
        <v>960</v>
      </c>
      <c r="AC146" t="str">
        <f>IF(Merged_Clinical_Finance_Data[[#This Row],[Total_Encounter_Cost_Naira]]&gt;AVERAGE(Merged_Clinical_Finance_Data[[#This Row],[Total_Encounter_Cost_Naira]]),"High","Normal")</f>
        <v>Normal</v>
      </c>
    </row>
    <row r="147" spans="1:29" x14ac:dyDescent="0.25">
      <c r="A147" t="s">
        <v>270</v>
      </c>
      <c r="B147" t="s">
        <v>58</v>
      </c>
      <c r="C147" t="s">
        <v>59</v>
      </c>
      <c r="D147" t="s">
        <v>60</v>
      </c>
      <c r="E147" s="3">
        <v>45850</v>
      </c>
      <c r="F147" s="3">
        <v>45853</v>
      </c>
      <c r="G147">
        <v>3.2</v>
      </c>
      <c r="H147">
        <v>76</v>
      </c>
      <c r="I147" t="s">
        <v>33</v>
      </c>
      <c r="J147" t="s">
        <v>51</v>
      </c>
      <c r="K147" t="s">
        <v>62</v>
      </c>
      <c r="L147" t="s">
        <v>155</v>
      </c>
      <c r="M147" t="s">
        <v>47</v>
      </c>
      <c r="N147" t="s">
        <v>38</v>
      </c>
      <c r="O147">
        <v>26</v>
      </c>
      <c r="P147">
        <v>30</v>
      </c>
      <c r="Q147">
        <v>0.86670000000000003</v>
      </c>
      <c r="R147">
        <v>350</v>
      </c>
      <c r="S147" s="1">
        <v>1120</v>
      </c>
      <c r="T147" t="s">
        <v>89</v>
      </c>
      <c r="U147" t="s">
        <v>90</v>
      </c>
      <c r="V147" s="1">
        <v>8441.76</v>
      </c>
      <c r="W147" s="2">
        <f>Merged_Clinical_Finance_Data[[#This Row],[Occupied_Beds]]/Merged_Clinical_Finance_Data[[#This Row],[Total_Beds]]</f>
        <v>0.8666666666666667</v>
      </c>
      <c r="X147">
        <f>IF(Merged_Clinical_Finance_Data[[#This Row],[30Day_Readmission]]="Yes",1,0)</f>
        <v>0</v>
      </c>
      <c r="Y147" t="str" cm="1">
        <f t="array" ref="Y14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47" t="str" cm="1">
        <f t="array" ref="Z147">_xlfn.IFS(Merged_Clinical_Finance_Data[[#This Row],[Length_of_Stay_Days]]&lt;3,"Short (&lt;3)",Merged_Clinical_Finance_Data[[#This Row],[Length_of_Stay_Days]]&lt;=7,"Medium (3-7)",TRUE,"Long (&gt;7)")</f>
        <v>Medium (3-7)</v>
      </c>
      <c r="AA147" s="3">
        <f>EOMONTH(Merged_Clinical_Finance_Data[[#This Row],[Admission_Date]],-1)+1</f>
        <v>45839</v>
      </c>
      <c r="AB147" s="1">
        <f>Merged_Clinical_Finance_Data[[#This Row],[Daily_Bed_Cost_GBP]]*Merged_Clinical_Finance_Data[[#This Row],[Length_of_Stay_Days]]</f>
        <v>1120</v>
      </c>
      <c r="AC147" t="str">
        <f>IF(Merged_Clinical_Finance_Data[[#This Row],[Total_Encounter_Cost_Naira]]&gt;AVERAGE(Merged_Clinical_Finance_Data[[#This Row],[Total_Encounter_Cost_Naira]]),"High","Normal")</f>
        <v>Normal</v>
      </c>
    </row>
    <row r="148" spans="1:29" x14ac:dyDescent="0.25">
      <c r="A148" t="s">
        <v>271</v>
      </c>
      <c r="B148" t="s">
        <v>58</v>
      </c>
      <c r="C148" t="s">
        <v>59</v>
      </c>
      <c r="D148" t="s">
        <v>42</v>
      </c>
      <c r="E148" s="3">
        <v>45776</v>
      </c>
      <c r="F148" s="3">
        <v>45782</v>
      </c>
      <c r="G148">
        <v>6.4</v>
      </c>
      <c r="H148">
        <v>49</v>
      </c>
      <c r="I148" t="s">
        <v>33</v>
      </c>
      <c r="J148" t="s">
        <v>44</v>
      </c>
      <c r="K148" t="s">
        <v>95</v>
      </c>
      <c r="L148" t="s">
        <v>119</v>
      </c>
      <c r="M148" t="s">
        <v>47</v>
      </c>
      <c r="N148" t="s">
        <v>38</v>
      </c>
      <c r="O148">
        <v>29</v>
      </c>
      <c r="P148">
        <v>30</v>
      </c>
      <c r="Q148">
        <v>0.9667</v>
      </c>
      <c r="R148">
        <v>510</v>
      </c>
      <c r="S148" s="1">
        <v>3264</v>
      </c>
      <c r="T148" t="s">
        <v>55</v>
      </c>
      <c r="U148" t="s">
        <v>56</v>
      </c>
      <c r="V148" s="1">
        <v>467.57</v>
      </c>
      <c r="W148" s="2">
        <f>Merged_Clinical_Finance_Data[[#This Row],[Occupied_Beds]]/Merged_Clinical_Finance_Data[[#This Row],[Total_Beds]]</f>
        <v>0.96666666666666667</v>
      </c>
      <c r="X148">
        <f>IF(Merged_Clinical_Finance_Data[[#This Row],[30Day_Readmission]]="Yes",1,0)</f>
        <v>0</v>
      </c>
      <c r="Y148" t="str" cm="1">
        <f t="array" ref="Y14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48" t="str" cm="1">
        <f t="array" ref="Z148">_xlfn.IFS(Merged_Clinical_Finance_Data[[#This Row],[Length_of_Stay_Days]]&lt;3,"Short (&lt;3)",Merged_Clinical_Finance_Data[[#This Row],[Length_of_Stay_Days]]&lt;=7,"Medium (3-7)",TRUE,"Long (&gt;7)")</f>
        <v>Medium (3-7)</v>
      </c>
      <c r="AA148" s="3">
        <f>EOMONTH(Merged_Clinical_Finance_Data[[#This Row],[Admission_Date]],-1)+1</f>
        <v>45748</v>
      </c>
      <c r="AB148" s="1">
        <f>Merged_Clinical_Finance_Data[[#This Row],[Daily_Bed_Cost_GBP]]*Merged_Clinical_Finance_Data[[#This Row],[Length_of_Stay_Days]]</f>
        <v>3264</v>
      </c>
      <c r="AC148" t="str">
        <f>IF(Merged_Clinical_Finance_Data[[#This Row],[Total_Encounter_Cost_Naira]]&gt;AVERAGE(Merged_Clinical_Finance_Data[[#This Row],[Total_Encounter_Cost_Naira]]),"High","Normal")</f>
        <v>Normal</v>
      </c>
    </row>
    <row r="149" spans="1:29" x14ac:dyDescent="0.25">
      <c r="A149" t="s">
        <v>272</v>
      </c>
      <c r="B149" t="s">
        <v>49</v>
      </c>
      <c r="C149" t="s">
        <v>50</v>
      </c>
      <c r="D149" t="s">
        <v>42</v>
      </c>
      <c r="E149" s="3">
        <v>45695</v>
      </c>
      <c r="F149" s="3">
        <v>45698</v>
      </c>
      <c r="G149">
        <v>3.5</v>
      </c>
      <c r="H149">
        <v>36</v>
      </c>
      <c r="I149" t="s">
        <v>43</v>
      </c>
      <c r="J149" t="s">
        <v>81</v>
      </c>
      <c r="K149" t="s">
        <v>52</v>
      </c>
      <c r="L149" t="s">
        <v>150</v>
      </c>
      <c r="M149" t="s">
        <v>47</v>
      </c>
      <c r="N149" t="s">
        <v>38</v>
      </c>
      <c r="O149">
        <v>14</v>
      </c>
      <c r="P149">
        <v>30</v>
      </c>
      <c r="Q149">
        <v>0.4667</v>
      </c>
      <c r="R149">
        <v>400</v>
      </c>
      <c r="S149" s="1">
        <v>1400</v>
      </c>
      <c r="T149" t="s">
        <v>64</v>
      </c>
      <c r="U149" t="s">
        <v>65</v>
      </c>
      <c r="V149" s="1">
        <v>2369.4299999999998</v>
      </c>
      <c r="W149" s="2">
        <f>Merged_Clinical_Finance_Data[[#This Row],[Occupied_Beds]]/Merged_Clinical_Finance_Data[[#This Row],[Total_Beds]]</f>
        <v>0.46666666666666667</v>
      </c>
      <c r="X149">
        <f>IF(Merged_Clinical_Finance_Data[[#This Row],[30Day_Readmission]]="Yes",1,0)</f>
        <v>0</v>
      </c>
      <c r="Y149" t="str" cm="1">
        <f t="array" ref="Y14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49" t="str" cm="1">
        <f t="array" ref="Z149">_xlfn.IFS(Merged_Clinical_Finance_Data[[#This Row],[Length_of_Stay_Days]]&lt;3,"Short (&lt;3)",Merged_Clinical_Finance_Data[[#This Row],[Length_of_Stay_Days]]&lt;=7,"Medium (3-7)",TRUE,"Long (&gt;7)")</f>
        <v>Medium (3-7)</v>
      </c>
      <c r="AA149" s="3">
        <f>EOMONTH(Merged_Clinical_Finance_Data[[#This Row],[Admission_Date]],-1)+1</f>
        <v>45689</v>
      </c>
      <c r="AB149" s="1">
        <f>Merged_Clinical_Finance_Data[[#This Row],[Daily_Bed_Cost_GBP]]*Merged_Clinical_Finance_Data[[#This Row],[Length_of_Stay_Days]]</f>
        <v>1400</v>
      </c>
      <c r="AC149" t="str">
        <f>IF(Merged_Clinical_Finance_Data[[#This Row],[Total_Encounter_Cost_Naira]]&gt;AVERAGE(Merged_Clinical_Finance_Data[[#This Row],[Total_Encounter_Cost_Naira]]),"High","Normal")</f>
        <v>Normal</v>
      </c>
    </row>
    <row r="150" spans="1:29" x14ac:dyDescent="0.25">
      <c r="A150" t="s">
        <v>273</v>
      </c>
      <c r="B150" t="s">
        <v>67</v>
      </c>
      <c r="C150" t="s">
        <v>68</v>
      </c>
      <c r="D150" t="s">
        <v>42</v>
      </c>
      <c r="E150" s="3">
        <v>45780</v>
      </c>
      <c r="F150" s="3">
        <v>45781</v>
      </c>
      <c r="G150">
        <v>1.1000000000000001</v>
      </c>
      <c r="H150">
        <v>70</v>
      </c>
      <c r="I150" t="s">
        <v>43</v>
      </c>
      <c r="J150" t="s">
        <v>44</v>
      </c>
      <c r="K150" t="s">
        <v>69</v>
      </c>
      <c r="L150" t="s">
        <v>77</v>
      </c>
      <c r="M150" t="s">
        <v>47</v>
      </c>
      <c r="N150" t="s">
        <v>38</v>
      </c>
      <c r="O150">
        <v>21</v>
      </c>
      <c r="P150">
        <v>30</v>
      </c>
      <c r="Q150">
        <v>0.7</v>
      </c>
      <c r="R150">
        <v>480</v>
      </c>
      <c r="S150" s="1">
        <v>528</v>
      </c>
      <c r="T150" t="s">
        <v>89</v>
      </c>
      <c r="U150" t="s">
        <v>90</v>
      </c>
      <c r="V150" s="1">
        <v>2594.6799999999998</v>
      </c>
      <c r="W150" s="2">
        <f>Merged_Clinical_Finance_Data[[#This Row],[Occupied_Beds]]/Merged_Clinical_Finance_Data[[#This Row],[Total_Beds]]</f>
        <v>0.7</v>
      </c>
      <c r="X150">
        <f>IF(Merged_Clinical_Finance_Data[[#This Row],[30Day_Readmission]]="Yes",1,0)</f>
        <v>0</v>
      </c>
      <c r="Y150" t="str" cm="1">
        <f t="array" ref="Y15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50" t="str" cm="1">
        <f t="array" ref="Z150">_xlfn.IFS(Merged_Clinical_Finance_Data[[#This Row],[Length_of_Stay_Days]]&lt;3,"Short (&lt;3)",Merged_Clinical_Finance_Data[[#This Row],[Length_of_Stay_Days]]&lt;=7,"Medium (3-7)",TRUE,"Long (&gt;7)")</f>
        <v>Short (&lt;3)</v>
      </c>
      <c r="AA150" s="3">
        <f>EOMONTH(Merged_Clinical_Finance_Data[[#This Row],[Admission_Date]],-1)+1</f>
        <v>45778</v>
      </c>
      <c r="AB150" s="1">
        <f>Merged_Clinical_Finance_Data[[#This Row],[Daily_Bed_Cost_GBP]]*Merged_Clinical_Finance_Data[[#This Row],[Length_of_Stay_Days]]</f>
        <v>528</v>
      </c>
      <c r="AC150" t="str">
        <f>IF(Merged_Clinical_Finance_Data[[#This Row],[Total_Encounter_Cost_Naira]]&gt;AVERAGE(Merged_Clinical_Finance_Data[[#This Row],[Total_Encounter_Cost_Naira]]),"High","Normal")</f>
        <v>Normal</v>
      </c>
    </row>
    <row r="151" spans="1:29" x14ac:dyDescent="0.25">
      <c r="A151" t="s">
        <v>274</v>
      </c>
      <c r="B151" t="s">
        <v>49</v>
      </c>
      <c r="C151" t="s">
        <v>50</v>
      </c>
      <c r="D151" t="s">
        <v>60</v>
      </c>
      <c r="E151" s="3">
        <v>45708</v>
      </c>
      <c r="F151" s="3">
        <v>45712</v>
      </c>
      <c r="G151">
        <v>4.7</v>
      </c>
      <c r="H151">
        <v>75</v>
      </c>
      <c r="I151" t="s">
        <v>43</v>
      </c>
      <c r="J151" t="s">
        <v>51</v>
      </c>
      <c r="K151" t="s">
        <v>52</v>
      </c>
      <c r="L151" t="s">
        <v>179</v>
      </c>
      <c r="M151" t="s">
        <v>47</v>
      </c>
      <c r="N151" t="s">
        <v>38</v>
      </c>
      <c r="O151">
        <v>23</v>
      </c>
      <c r="P151">
        <v>30</v>
      </c>
      <c r="Q151">
        <v>0.76670000000000005</v>
      </c>
      <c r="R151">
        <v>400</v>
      </c>
      <c r="S151" s="1">
        <v>1880</v>
      </c>
      <c r="T151" t="s">
        <v>39</v>
      </c>
      <c r="U151" t="s">
        <v>40</v>
      </c>
      <c r="V151" s="1">
        <v>1995.92</v>
      </c>
      <c r="W151" s="2">
        <f>Merged_Clinical_Finance_Data[[#This Row],[Occupied_Beds]]/Merged_Clinical_Finance_Data[[#This Row],[Total_Beds]]</f>
        <v>0.76666666666666672</v>
      </c>
      <c r="X151">
        <f>IF(Merged_Clinical_Finance_Data[[#This Row],[30Day_Readmission]]="Yes",1,0)</f>
        <v>0</v>
      </c>
      <c r="Y151" t="str" cm="1">
        <f t="array" ref="Y15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51" t="str" cm="1">
        <f t="array" ref="Z151">_xlfn.IFS(Merged_Clinical_Finance_Data[[#This Row],[Length_of_Stay_Days]]&lt;3,"Short (&lt;3)",Merged_Clinical_Finance_Data[[#This Row],[Length_of_Stay_Days]]&lt;=7,"Medium (3-7)",TRUE,"Long (&gt;7)")</f>
        <v>Medium (3-7)</v>
      </c>
      <c r="AA151" s="3">
        <f>EOMONTH(Merged_Clinical_Finance_Data[[#This Row],[Admission_Date]],-1)+1</f>
        <v>45689</v>
      </c>
      <c r="AB151" s="1">
        <f>Merged_Clinical_Finance_Data[[#This Row],[Daily_Bed_Cost_GBP]]*Merged_Clinical_Finance_Data[[#This Row],[Length_of_Stay_Days]]</f>
        <v>1880</v>
      </c>
      <c r="AC151" t="str">
        <f>IF(Merged_Clinical_Finance_Data[[#This Row],[Total_Encounter_Cost_Naira]]&gt;AVERAGE(Merged_Clinical_Finance_Data[[#This Row],[Total_Encounter_Cost_Naira]]),"High","Normal")</f>
        <v>Normal</v>
      </c>
    </row>
    <row r="152" spans="1:29" x14ac:dyDescent="0.25">
      <c r="A152" t="s">
        <v>275</v>
      </c>
      <c r="B152" t="s">
        <v>107</v>
      </c>
      <c r="C152" t="s">
        <v>108</v>
      </c>
      <c r="D152" t="s">
        <v>32</v>
      </c>
      <c r="E152" s="3">
        <v>45893</v>
      </c>
      <c r="F152" s="3">
        <v>45896</v>
      </c>
      <c r="G152">
        <v>3.3</v>
      </c>
      <c r="H152">
        <v>19</v>
      </c>
      <c r="I152" t="s">
        <v>43</v>
      </c>
      <c r="J152" t="s">
        <v>73</v>
      </c>
      <c r="K152" t="s">
        <v>158</v>
      </c>
      <c r="L152" t="s">
        <v>121</v>
      </c>
      <c r="M152" t="s">
        <v>37</v>
      </c>
      <c r="N152" t="s">
        <v>38</v>
      </c>
      <c r="O152">
        <v>24</v>
      </c>
      <c r="P152">
        <v>30</v>
      </c>
      <c r="Q152">
        <v>0.8</v>
      </c>
      <c r="R152">
        <v>425</v>
      </c>
      <c r="S152" s="1">
        <v>1402.5</v>
      </c>
      <c r="T152" t="s">
        <v>55</v>
      </c>
      <c r="U152" t="s">
        <v>56</v>
      </c>
      <c r="V152" s="1">
        <v>921</v>
      </c>
      <c r="W152" s="2">
        <f>Merged_Clinical_Finance_Data[[#This Row],[Occupied_Beds]]/Merged_Clinical_Finance_Data[[#This Row],[Total_Beds]]</f>
        <v>0.8</v>
      </c>
      <c r="X152">
        <f>IF(Merged_Clinical_Finance_Data[[#This Row],[30Day_Readmission]]="Yes",1,0)</f>
        <v>0</v>
      </c>
      <c r="Y152" t="str" cm="1">
        <f t="array" ref="Y15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52" t="str" cm="1">
        <f t="array" ref="Z152">_xlfn.IFS(Merged_Clinical_Finance_Data[[#This Row],[Length_of_Stay_Days]]&lt;3,"Short (&lt;3)",Merged_Clinical_Finance_Data[[#This Row],[Length_of_Stay_Days]]&lt;=7,"Medium (3-7)",TRUE,"Long (&gt;7)")</f>
        <v>Medium (3-7)</v>
      </c>
      <c r="AA152" s="3">
        <f>EOMONTH(Merged_Clinical_Finance_Data[[#This Row],[Admission_Date]],-1)+1</f>
        <v>45870</v>
      </c>
      <c r="AB152" s="1">
        <f>Merged_Clinical_Finance_Data[[#This Row],[Daily_Bed_Cost_GBP]]*Merged_Clinical_Finance_Data[[#This Row],[Length_of_Stay_Days]]</f>
        <v>1402.5</v>
      </c>
      <c r="AC152" t="str">
        <f>IF(Merged_Clinical_Finance_Data[[#This Row],[Total_Encounter_Cost_Naira]]&gt;AVERAGE(Merged_Clinical_Finance_Data[[#This Row],[Total_Encounter_Cost_Naira]]),"High","Normal")</f>
        <v>Normal</v>
      </c>
    </row>
    <row r="153" spans="1:29" x14ac:dyDescent="0.25">
      <c r="A153" t="s">
        <v>276</v>
      </c>
      <c r="B153" t="s">
        <v>67</v>
      </c>
      <c r="C153" t="s">
        <v>68</v>
      </c>
      <c r="D153" t="s">
        <v>42</v>
      </c>
      <c r="E153" s="3">
        <v>45869</v>
      </c>
      <c r="F153" s="3">
        <v>45873</v>
      </c>
      <c r="G153">
        <v>4.8</v>
      </c>
      <c r="H153">
        <v>73</v>
      </c>
      <c r="I153" t="s">
        <v>33</v>
      </c>
      <c r="J153" t="s">
        <v>73</v>
      </c>
      <c r="K153" t="s">
        <v>76</v>
      </c>
      <c r="L153" t="s">
        <v>167</v>
      </c>
      <c r="M153" t="s">
        <v>47</v>
      </c>
      <c r="N153" t="s">
        <v>71</v>
      </c>
      <c r="O153">
        <v>17</v>
      </c>
      <c r="P153">
        <v>30</v>
      </c>
      <c r="Q153">
        <v>0.56669999999999998</v>
      </c>
      <c r="R153">
        <v>425</v>
      </c>
      <c r="S153" s="1">
        <v>2040</v>
      </c>
      <c r="T153" t="s">
        <v>39</v>
      </c>
      <c r="U153" t="s">
        <v>40</v>
      </c>
      <c r="V153" s="1">
        <v>2118.0100000000002</v>
      </c>
      <c r="W153" s="2">
        <f>Merged_Clinical_Finance_Data[[#This Row],[Occupied_Beds]]/Merged_Clinical_Finance_Data[[#This Row],[Total_Beds]]</f>
        <v>0.56666666666666665</v>
      </c>
      <c r="X153">
        <f>IF(Merged_Clinical_Finance_Data[[#This Row],[30Day_Readmission]]="Yes",1,0)</f>
        <v>1</v>
      </c>
      <c r="Y153" t="str" cm="1">
        <f t="array" ref="Y15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53" t="str" cm="1">
        <f t="array" ref="Z153">_xlfn.IFS(Merged_Clinical_Finance_Data[[#This Row],[Length_of_Stay_Days]]&lt;3,"Short (&lt;3)",Merged_Clinical_Finance_Data[[#This Row],[Length_of_Stay_Days]]&lt;=7,"Medium (3-7)",TRUE,"Long (&gt;7)")</f>
        <v>Medium (3-7)</v>
      </c>
      <c r="AA153" s="3">
        <f>EOMONTH(Merged_Clinical_Finance_Data[[#This Row],[Admission_Date]],-1)+1</f>
        <v>45839</v>
      </c>
      <c r="AB153" s="1">
        <f>Merged_Clinical_Finance_Data[[#This Row],[Daily_Bed_Cost_GBP]]*Merged_Clinical_Finance_Data[[#This Row],[Length_of_Stay_Days]]</f>
        <v>2040</v>
      </c>
      <c r="AC153" t="str">
        <f>IF(Merged_Clinical_Finance_Data[[#This Row],[Total_Encounter_Cost_Naira]]&gt;AVERAGE(Merged_Clinical_Finance_Data[[#This Row],[Total_Encounter_Cost_Naira]]),"High","Normal")</f>
        <v>Normal</v>
      </c>
    </row>
    <row r="154" spans="1:29" x14ac:dyDescent="0.25">
      <c r="A154" t="s">
        <v>277</v>
      </c>
      <c r="B154" t="s">
        <v>107</v>
      </c>
      <c r="C154" t="s">
        <v>108</v>
      </c>
      <c r="D154" t="s">
        <v>42</v>
      </c>
      <c r="E154" s="3">
        <v>45675</v>
      </c>
      <c r="F154" s="3">
        <v>45682</v>
      </c>
      <c r="G154">
        <v>7.5</v>
      </c>
      <c r="H154">
        <v>59</v>
      </c>
      <c r="I154" t="s">
        <v>43</v>
      </c>
      <c r="J154" t="s">
        <v>44</v>
      </c>
      <c r="K154" t="s">
        <v>109</v>
      </c>
      <c r="L154" t="s">
        <v>121</v>
      </c>
      <c r="M154" t="s">
        <v>47</v>
      </c>
      <c r="N154" t="s">
        <v>38</v>
      </c>
      <c r="O154">
        <v>20</v>
      </c>
      <c r="P154">
        <v>30</v>
      </c>
      <c r="Q154">
        <v>0.66669999999999996</v>
      </c>
      <c r="R154">
        <v>400</v>
      </c>
      <c r="S154" s="1">
        <v>3000</v>
      </c>
      <c r="T154" t="s">
        <v>111</v>
      </c>
      <c r="U154" t="s">
        <v>112</v>
      </c>
      <c r="V154" s="1">
        <v>2711.01</v>
      </c>
      <c r="W154" s="2">
        <f>Merged_Clinical_Finance_Data[[#This Row],[Occupied_Beds]]/Merged_Clinical_Finance_Data[[#This Row],[Total_Beds]]</f>
        <v>0.66666666666666663</v>
      </c>
      <c r="X154">
        <f>IF(Merged_Clinical_Finance_Data[[#This Row],[30Day_Readmission]]="Yes",1,0)</f>
        <v>0</v>
      </c>
      <c r="Y154" t="str" cm="1">
        <f t="array" ref="Y15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54" t="str" cm="1">
        <f t="array" ref="Z154">_xlfn.IFS(Merged_Clinical_Finance_Data[[#This Row],[Length_of_Stay_Days]]&lt;3,"Short (&lt;3)",Merged_Clinical_Finance_Data[[#This Row],[Length_of_Stay_Days]]&lt;=7,"Medium (3-7)",TRUE,"Long (&gt;7)")</f>
        <v>Long (&gt;7)</v>
      </c>
      <c r="AA154" s="3">
        <f>EOMONTH(Merged_Clinical_Finance_Data[[#This Row],[Admission_Date]],-1)+1</f>
        <v>45658</v>
      </c>
      <c r="AB154" s="1">
        <f>Merged_Clinical_Finance_Data[[#This Row],[Daily_Bed_Cost_GBP]]*Merged_Clinical_Finance_Data[[#This Row],[Length_of_Stay_Days]]</f>
        <v>3000</v>
      </c>
      <c r="AC154" t="str">
        <f>IF(Merged_Clinical_Finance_Data[[#This Row],[Total_Encounter_Cost_Naira]]&gt;AVERAGE(Merged_Clinical_Finance_Data[[#This Row],[Total_Encounter_Cost_Naira]]),"High","Normal")</f>
        <v>Normal</v>
      </c>
    </row>
    <row r="155" spans="1:29" x14ac:dyDescent="0.25">
      <c r="A155" t="s">
        <v>278</v>
      </c>
      <c r="B155" t="s">
        <v>49</v>
      </c>
      <c r="C155" t="s">
        <v>50</v>
      </c>
      <c r="D155" t="s">
        <v>60</v>
      </c>
      <c r="E155" s="3">
        <v>45792</v>
      </c>
      <c r="F155" s="3">
        <v>45802</v>
      </c>
      <c r="G155">
        <v>10.199999999999999</v>
      </c>
      <c r="H155">
        <v>52</v>
      </c>
      <c r="I155" t="s">
        <v>43</v>
      </c>
      <c r="J155" t="s">
        <v>44</v>
      </c>
      <c r="K155" t="s">
        <v>143</v>
      </c>
      <c r="L155" t="s">
        <v>179</v>
      </c>
      <c r="M155" t="s">
        <v>37</v>
      </c>
      <c r="N155" t="s">
        <v>38</v>
      </c>
      <c r="O155">
        <v>21</v>
      </c>
      <c r="P155">
        <v>30</v>
      </c>
      <c r="Q155">
        <v>0.7</v>
      </c>
      <c r="R155">
        <v>450</v>
      </c>
      <c r="S155" s="1">
        <v>4590</v>
      </c>
      <c r="T155" t="s">
        <v>39</v>
      </c>
      <c r="U155" t="s">
        <v>40</v>
      </c>
      <c r="V155" s="1">
        <v>1501.95</v>
      </c>
      <c r="W155" s="2">
        <f>Merged_Clinical_Finance_Data[[#This Row],[Occupied_Beds]]/Merged_Clinical_Finance_Data[[#This Row],[Total_Beds]]</f>
        <v>0.7</v>
      </c>
      <c r="X155">
        <f>IF(Merged_Clinical_Finance_Data[[#This Row],[30Day_Readmission]]="Yes",1,0)</f>
        <v>0</v>
      </c>
      <c r="Y155" t="str" cm="1">
        <f t="array" ref="Y15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55" t="str" cm="1">
        <f t="array" ref="Z155">_xlfn.IFS(Merged_Clinical_Finance_Data[[#This Row],[Length_of_Stay_Days]]&lt;3,"Short (&lt;3)",Merged_Clinical_Finance_Data[[#This Row],[Length_of_Stay_Days]]&lt;=7,"Medium (3-7)",TRUE,"Long (&gt;7)")</f>
        <v>Long (&gt;7)</v>
      </c>
      <c r="AA155" s="3">
        <f>EOMONTH(Merged_Clinical_Finance_Data[[#This Row],[Admission_Date]],-1)+1</f>
        <v>45778</v>
      </c>
      <c r="AB155" s="1">
        <f>Merged_Clinical_Finance_Data[[#This Row],[Daily_Bed_Cost_GBP]]*Merged_Clinical_Finance_Data[[#This Row],[Length_of_Stay_Days]]</f>
        <v>4590</v>
      </c>
      <c r="AC155" t="str">
        <f>IF(Merged_Clinical_Finance_Data[[#This Row],[Total_Encounter_Cost_Naira]]&gt;AVERAGE(Merged_Clinical_Finance_Data[[#This Row],[Total_Encounter_Cost_Naira]]),"High","Normal")</f>
        <v>Normal</v>
      </c>
    </row>
    <row r="156" spans="1:29" x14ac:dyDescent="0.25">
      <c r="A156" t="s">
        <v>279</v>
      </c>
      <c r="B156" t="s">
        <v>102</v>
      </c>
      <c r="C156" t="s">
        <v>103</v>
      </c>
      <c r="D156" t="s">
        <v>32</v>
      </c>
      <c r="E156" s="3">
        <v>45935</v>
      </c>
      <c r="F156" s="3">
        <v>45935</v>
      </c>
      <c r="G156">
        <v>0.5</v>
      </c>
      <c r="H156">
        <v>24</v>
      </c>
      <c r="I156" t="s">
        <v>43</v>
      </c>
      <c r="J156" t="s">
        <v>44</v>
      </c>
      <c r="K156" t="s">
        <v>104</v>
      </c>
      <c r="L156" t="s">
        <v>105</v>
      </c>
      <c r="M156" t="s">
        <v>47</v>
      </c>
      <c r="N156" t="s">
        <v>38</v>
      </c>
      <c r="O156">
        <v>27</v>
      </c>
      <c r="P156">
        <v>30</v>
      </c>
      <c r="Q156">
        <v>0.9</v>
      </c>
      <c r="R156">
        <v>350</v>
      </c>
      <c r="S156" s="1">
        <v>175</v>
      </c>
      <c r="T156" t="s">
        <v>136</v>
      </c>
      <c r="U156" t="s">
        <v>137</v>
      </c>
      <c r="V156" s="1">
        <v>1489.73</v>
      </c>
      <c r="W156" s="2">
        <f>Merged_Clinical_Finance_Data[[#This Row],[Occupied_Beds]]/Merged_Clinical_Finance_Data[[#This Row],[Total_Beds]]</f>
        <v>0.9</v>
      </c>
      <c r="X156">
        <f>IF(Merged_Clinical_Finance_Data[[#This Row],[30Day_Readmission]]="Yes",1,0)</f>
        <v>0</v>
      </c>
      <c r="Y156" t="str" cm="1">
        <f t="array" ref="Y15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56" t="str" cm="1">
        <f t="array" ref="Z156">_xlfn.IFS(Merged_Clinical_Finance_Data[[#This Row],[Length_of_Stay_Days]]&lt;3,"Short (&lt;3)",Merged_Clinical_Finance_Data[[#This Row],[Length_of_Stay_Days]]&lt;=7,"Medium (3-7)",TRUE,"Long (&gt;7)")</f>
        <v>Short (&lt;3)</v>
      </c>
      <c r="AA156" s="3">
        <f>EOMONTH(Merged_Clinical_Finance_Data[[#This Row],[Admission_Date]],-1)+1</f>
        <v>45931</v>
      </c>
      <c r="AB156" s="1">
        <f>Merged_Clinical_Finance_Data[[#This Row],[Daily_Bed_Cost_GBP]]*Merged_Clinical_Finance_Data[[#This Row],[Length_of_Stay_Days]]</f>
        <v>175</v>
      </c>
      <c r="AC156" t="str">
        <f>IF(Merged_Clinical_Finance_Data[[#This Row],[Total_Encounter_Cost_Naira]]&gt;AVERAGE(Merged_Clinical_Finance_Data[[#This Row],[Total_Encounter_Cost_Naira]]),"High","Normal")</f>
        <v>Normal</v>
      </c>
    </row>
    <row r="157" spans="1:29" x14ac:dyDescent="0.25">
      <c r="A157" t="s">
        <v>280</v>
      </c>
      <c r="B157" t="s">
        <v>107</v>
      </c>
      <c r="C157" t="s">
        <v>108</v>
      </c>
      <c r="D157" t="s">
        <v>42</v>
      </c>
      <c r="E157" s="3">
        <v>45959</v>
      </c>
      <c r="F157" s="3">
        <v>45965</v>
      </c>
      <c r="G157">
        <v>6.1</v>
      </c>
      <c r="H157">
        <v>29</v>
      </c>
      <c r="I157" t="s">
        <v>33</v>
      </c>
      <c r="J157" t="s">
        <v>51</v>
      </c>
      <c r="K157" t="s">
        <v>158</v>
      </c>
      <c r="L157" t="s">
        <v>121</v>
      </c>
      <c r="M157" t="s">
        <v>37</v>
      </c>
      <c r="N157" t="s">
        <v>38</v>
      </c>
      <c r="O157">
        <v>18</v>
      </c>
      <c r="P157">
        <v>30</v>
      </c>
      <c r="Q157">
        <v>0.6</v>
      </c>
      <c r="R157">
        <v>375</v>
      </c>
      <c r="S157" s="1">
        <v>2287.5</v>
      </c>
      <c r="T157" t="s">
        <v>84</v>
      </c>
      <c r="U157" t="s">
        <v>85</v>
      </c>
      <c r="V157" s="1">
        <v>6425.54</v>
      </c>
      <c r="W157" s="2">
        <f>Merged_Clinical_Finance_Data[[#This Row],[Occupied_Beds]]/Merged_Clinical_Finance_Data[[#This Row],[Total_Beds]]</f>
        <v>0.6</v>
      </c>
      <c r="X157">
        <f>IF(Merged_Clinical_Finance_Data[[#This Row],[30Day_Readmission]]="Yes",1,0)</f>
        <v>0</v>
      </c>
      <c r="Y157" t="str" cm="1">
        <f t="array" ref="Y15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57" t="str" cm="1">
        <f t="array" ref="Z157">_xlfn.IFS(Merged_Clinical_Finance_Data[[#This Row],[Length_of_Stay_Days]]&lt;3,"Short (&lt;3)",Merged_Clinical_Finance_Data[[#This Row],[Length_of_Stay_Days]]&lt;=7,"Medium (3-7)",TRUE,"Long (&gt;7)")</f>
        <v>Medium (3-7)</v>
      </c>
      <c r="AA157" s="3">
        <f>EOMONTH(Merged_Clinical_Finance_Data[[#This Row],[Admission_Date]],-1)+1</f>
        <v>45931</v>
      </c>
      <c r="AB157" s="1">
        <f>Merged_Clinical_Finance_Data[[#This Row],[Daily_Bed_Cost_GBP]]*Merged_Clinical_Finance_Data[[#This Row],[Length_of_Stay_Days]]</f>
        <v>2287.5</v>
      </c>
      <c r="AC157" t="str">
        <f>IF(Merged_Clinical_Finance_Data[[#This Row],[Total_Encounter_Cost_Naira]]&gt;AVERAGE(Merged_Clinical_Finance_Data[[#This Row],[Total_Encounter_Cost_Naira]]),"High","Normal")</f>
        <v>Normal</v>
      </c>
    </row>
    <row r="158" spans="1:29" x14ac:dyDescent="0.25">
      <c r="A158" t="s">
        <v>281</v>
      </c>
      <c r="B158" t="s">
        <v>114</v>
      </c>
      <c r="C158" t="s">
        <v>115</v>
      </c>
      <c r="D158" t="s">
        <v>42</v>
      </c>
      <c r="E158" s="3">
        <v>45960</v>
      </c>
      <c r="F158" s="3">
        <v>45963</v>
      </c>
      <c r="G158">
        <v>3.1</v>
      </c>
      <c r="H158">
        <v>21</v>
      </c>
      <c r="I158" t="s">
        <v>43</v>
      </c>
      <c r="J158" t="s">
        <v>73</v>
      </c>
      <c r="K158" t="s">
        <v>116</v>
      </c>
      <c r="L158" t="s">
        <v>161</v>
      </c>
      <c r="M158" t="s">
        <v>47</v>
      </c>
      <c r="N158" t="s">
        <v>38</v>
      </c>
      <c r="O158">
        <v>13</v>
      </c>
      <c r="P158">
        <v>30</v>
      </c>
      <c r="Q158">
        <v>0.43330000000000002</v>
      </c>
      <c r="R158">
        <v>400</v>
      </c>
      <c r="S158" s="1">
        <v>1240</v>
      </c>
      <c r="T158" t="s">
        <v>55</v>
      </c>
      <c r="U158" t="s">
        <v>56</v>
      </c>
      <c r="V158" s="1">
        <v>1075.8599999999999</v>
      </c>
      <c r="W158" s="2">
        <f>Merged_Clinical_Finance_Data[[#This Row],[Occupied_Beds]]/Merged_Clinical_Finance_Data[[#This Row],[Total_Beds]]</f>
        <v>0.43333333333333335</v>
      </c>
      <c r="X158">
        <f>IF(Merged_Clinical_Finance_Data[[#This Row],[30Day_Readmission]]="Yes",1,0)</f>
        <v>0</v>
      </c>
      <c r="Y158" t="str" cm="1">
        <f t="array" ref="Y15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58" t="str" cm="1">
        <f t="array" ref="Z158">_xlfn.IFS(Merged_Clinical_Finance_Data[[#This Row],[Length_of_Stay_Days]]&lt;3,"Short (&lt;3)",Merged_Clinical_Finance_Data[[#This Row],[Length_of_Stay_Days]]&lt;=7,"Medium (3-7)",TRUE,"Long (&gt;7)")</f>
        <v>Medium (3-7)</v>
      </c>
      <c r="AA158" s="3">
        <f>EOMONTH(Merged_Clinical_Finance_Data[[#This Row],[Admission_Date]],-1)+1</f>
        <v>45931</v>
      </c>
      <c r="AB158" s="1">
        <f>Merged_Clinical_Finance_Data[[#This Row],[Daily_Bed_Cost_GBP]]*Merged_Clinical_Finance_Data[[#This Row],[Length_of_Stay_Days]]</f>
        <v>1240</v>
      </c>
      <c r="AC158" t="str">
        <f>IF(Merged_Clinical_Finance_Data[[#This Row],[Total_Encounter_Cost_Naira]]&gt;AVERAGE(Merged_Clinical_Finance_Data[[#This Row],[Total_Encounter_Cost_Naira]]),"High","Normal")</f>
        <v>Normal</v>
      </c>
    </row>
    <row r="159" spans="1:29" x14ac:dyDescent="0.25">
      <c r="A159" t="s">
        <v>282</v>
      </c>
      <c r="B159" t="s">
        <v>102</v>
      </c>
      <c r="C159" t="s">
        <v>103</v>
      </c>
      <c r="D159" t="s">
        <v>60</v>
      </c>
      <c r="E159" s="3">
        <v>45873</v>
      </c>
      <c r="F159" s="3">
        <v>45873</v>
      </c>
      <c r="G159">
        <v>0.6</v>
      </c>
      <c r="H159">
        <v>67</v>
      </c>
      <c r="I159" t="s">
        <v>33</v>
      </c>
      <c r="J159" t="s">
        <v>44</v>
      </c>
      <c r="K159" t="s">
        <v>104</v>
      </c>
      <c r="L159" t="s">
        <v>164</v>
      </c>
      <c r="M159" t="s">
        <v>47</v>
      </c>
      <c r="N159" t="s">
        <v>71</v>
      </c>
      <c r="O159">
        <v>13</v>
      </c>
      <c r="P159">
        <v>30</v>
      </c>
      <c r="Q159">
        <v>0.43330000000000002</v>
      </c>
      <c r="R159">
        <v>510</v>
      </c>
      <c r="S159" s="1">
        <v>306</v>
      </c>
      <c r="T159" t="s">
        <v>136</v>
      </c>
      <c r="U159" t="s">
        <v>137</v>
      </c>
      <c r="V159" s="1">
        <v>3964.56</v>
      </c>
      <c r="W159" s="2">
        <f>Merged_Clinical_Finance_Data[[#This Row],[Occupied_Beds]]/Merged_Clinical_Finance_Data[[#This Row],[Total_Beds]]</f>
        <v>0.43333333333333335</v>
      </c>
      <c r="X159">
        <f>IF(Merged_Clinical_Finance_Data[[#This Row],[30Day_Readmission]]="Yes",1,0)</f>
        <v>1</v>
      </c>
      <c r="Y159" t="str" cm="1">
        <f t="array" ref="Y15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59" t="str" cm="1">
        <f t="array" ref="Z159">_xlfn.IFS(Merged_Clinical_Finance_Data[[#This Row],[Length_of_Stay_Days]]&lt;3,"Short (&lt;3)",Merged_Clinical_Finance_Data[[#This Row],[Length_of_Stay_Days]]&lt;=7,"Medium (3-7)",TRUE,"Long (&gt;7)")</f>
        <v>Short (&lt;3)</v>
      </c>
      <c r="AA159" s="3">
        <f>EOMONTH(Merged_Clinical_Finance_Data[[#This Row],[Admission_Date]],-1)+1</f>
        <v>45870</v>
      </c>
      <c r="AB159" s="1">
        <f>Merged_Clinical_Finance_Data[[#This Row],[Daily_Bed_Cost_GBP]]*Merged_Clinical_Finance_Data[[#This Row],[Length_of_Stay_Days]]</f>
        <v>306</v>
      </c>
      <c r="AC159" t="str">
        <f>IF(Merged_Clinical_Finance_Data[[#This Row],[Total_Encounter_Cost_Naira]]&gt;AVERAGE(Merged_Clinical_Finance_Data[[#This Row],[Total_Encounter_Cost_Naira]]),"High","Normal")</f>
        <v>Normal</v>
      </c>
    </row>
    <row r="160" spans="1:29" x14ac:dyDescent="0.25">
      <c r="A160" t="s">
        <v>283</v>
      </c>
      <c r="B160" t="s">
        <v>58</v>
      </c>
      <c r="C160" t="s">
        <v>59</v>
      </c>
      <c r="D160" t="s">
        <v>60</v>
      </c>
      <c r="E160" s="3">
        <v>45906</v>
      </c>
      <c r="F160" s="3">
        <v>45913</v>
      </c>
      <c r="G160">
        <v>7.9</v>
      </c>
      <c r="H160">
        <v>46</v>
      </c>
      <c r="I160" t="s">
        <v>43</v>
      </c>
      <c r="J160" t="s">
        <v>51</v>
      </c>
      <c r="K160" t="s">
        <v>62</v>
      </c>
      <c r="L160" t="s">
        <v>119</v>
      </c>
      <c r="M160" t="s">
        <v>47</v>
      </c>
      <c r="N160" t="s">
        <v>38</v>
      </c>
      <c r="O160">
        <v>19</v>
      </c>
      <c r="P160">
        <v>30</v>
      </c>
      <c r="Q160">
        <v>0.63329999999999997</v>
      </c>
      <c r="R160">
        <v>450</v>
      </c>
      <c r="S160" s="1">
        <v>3555</v>
      </c>
      <c r="T160" t="s">
        <v>89</v>
      </c>
      <c r="U160" t="s">
        <v>90</v>
      </c>
      <c r="V160" s="1">
        <v>3591.24</v>
      </c>
      <c r="W160" s="2">
        <f>Merged_Clinical_Finance_Data[[#This Row],[Occupied_Beds]]/Merged_Clinical_Finance_Data[[#This Row],[Total_Beds]]</f>
        <v>0.6333333333333333</v>
      </c>
      <c r="X160">
        <f>IF(Merged_Clinical_Finance_Data[[#This Row],[30Day_Readmission]]="Yes",1,0)</f>
        <v>0</v>
      </c>
      <c r="Y160" t="str" cm="1">
        <f t="array" ref="Y16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60" t="str" cm="1">
        <f t="array" ref="Z160">_xlfn.IFS(Merged_Clinical_Finance_Data[[#This Row],[Length_of_Stay_Days]]&lt;3,"Short (&lt;3)",Merged_Clinical_Finance_Data[[#This Row],[Length_of_Stay_Days]]&lt;=7,"Medium (3-7)",TRUE,"Long (&gt;7)")</f>
        <v>Long (&gt;7)</v>
      </c>
      <c r="AA160" s="3">
        <f>EOMONTH(Merged_Clinical_Finance_Data[[#This Row],[Admission_Date]],-1)+1</f>
        <v>45901</v>
      </c>
      <c r="AB160" s="1">
        <f>Merged_Clinical_Finance_Data[[#This Row],[Daily_Bed_Cost_GBP]]*Merged_Clinical_Finance_Data[[#This Row],[Length_of_Stay_Days]]</f>
        <v>3555</v>
      </c>
      <c r="AC160" t="str">
        <f>IF(Merged_Clinical_Finance_Data[[#This Row],[Total_Encounter_Cost_Naira]]&gt;AVERAGE(Merged_Clinical_Finance_Data[[#This Row],[Total_Encounter_Cost_Naira]]),"High","Normal")</f>
        <v>Normal</v>
      </c>
    </row>
    <row r="161" spans="1:29" x14ac:dyDescent="0.25">
      <c r="A161" t="s">
        <v>284</v>
      </c>
      <c r="B161" t="s">
        <v>67</v>
      </c>
      <c r="C161" t="s">
        <v>68</v>
      </c>
      <c r="D161" t="s">
        <v>32</v>
      </c>
      <c r="E161" s="3">
        <v>45975</v>
      </c>
      <c r="F161" s="3">
        <v>45978</v>
      </c>
      <c r="G161">
        <v>3.8</v>
      </c>
      <c r="H161">
        <v>21</v>
      </c>
      <c r="I161" t="s">
        <v>33</v>
      </c>
      <c r="J161" t="s">
        <v>61</v>
      </c>
      <c r="K161" t="s">
        <v>69</v>
      </c>
      <c r="L161" t="s">
        <v>77</v>
      </c>
      <c r="M161" t="s">
        <v>47</v>
      </c>
      <c r="N161" t="s">
        <v>38</v>
      </c>
      <c r="O161">
        <v>25</v>
      </c>
      <c r="P161">
        <v>30</v>
      </c>
      <c r="Q161">
        <v>0.83330000000000004</v>
      </c>
      <c r="R161">
        <v>400</v>
      </c>
      <c r="S161" s="1">
        <v>1520</v>
      </c>
      <c r="T161" t="s">
        <v>64</v>
      </c>
      <c r="U161" t="s">
        <v>65</v>
      </c>
      <c r="V161" s="1">
        <v>1554.51</v>
      </c>
      <c r="W161" s="2">
        <f>Merged_Clinical_Finance_Data[[#This Row],[Occupied_Beds]]/Merged_Clinical_Finance_Data[[#This Row],[Total_Beds]]</f>
        <v>0.83333333333333337</v>
      </c>
      <c r="X161">
        <f>IF(Merged_Clinical_Finance_Data[[#This Row],[30Day_Readmission]]="Yes",1,0)</f>
        <v>0</v>
      </c>
      <c r="Y161" t="str" cm="1">
        <f t="array" ref="Y16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61" t="str" cm="1">
        <f t="array" ref="Z161">_xlfn.IFS(Merged_Clinical_Finance_Data[[#This Row],[Length_of_Stay_Days]]&lt;3,"Short (&lt;3)",Merged_Clinical_Finance_Data[[#This Row],[Length_of_Stay_Days]]&lt;=7,"Medium (3-7)",TRUE,"Long (&gt;7)")</f>
        <v>Medium (3-7)</v>
      </c>
      <c r="AA161" s="3">
        <f>EOMONTH(Merged_Clinical_Finance_Data[[#This Row],[Admission_Date]],-1)+1</f>
        <v>45962</v>
      </c>
      <c r="AB161" s="1">
        <f>Merged_Clinical_Finance_Data[[#This Row],[Daily_Bed_Cost_GBP]]*Merged_Clinical_Finance_Data[[#This Row],[Length_of_Stay_Days]]</f>
        <v>1520</v>
      </c>
      <c r="AC161" t="str">
        <f>IF(Merged_Clinical_Finance_Data[[#This Row],[Total_Encounter_Cost_Naira]]&gt;AVERAGE(Merged_Clinical_Finance_Data[[#This Row],[Total_Encounter_Cost_Naira]]),"High","Normal")</f>
        <v>Normal</v>
      </c>
    </row>
    <row r="162" spans="1:29" x14ac:dyDescent="0.25">
      <c r="A162" t="s">
        <v>285</v>
      </c>
      <c r="B162" t="s">
        <v>30</v>
      </c>
      <c r="C162" t="s">
        <v>31</v>
      </c>
      <c r="D162" t="s">
        <v>42</v>
      </c>
      <c r="E162" s="3">
        <v>45715</v>
      </c>
      <c r="F162" s="3">
        <v>45717</v>
      </c>
      <c r="G162">
        <v>2</v>
      </c>
      <c r="H162">
        <v>29</v>
      </c>
      <c r="I162" t="s">
        <v>43</v>
      </c>
      <c r="J162" t="s">
        <v>73</v>
      </c>
      <c r="K162" t="s">
        <v>45</v>
      </c>
      <c r="L162" t="s">
        <v>46</v>
      </c>
      <c r="M162" t="s">
        <v>74</v>
      </c>
      <c r="N162" t="s">
        <v>38</v>
      </c>
      <c r="O162">
        <v>23</v>
      </c>
      <c r="P162">
        <v>30</v>
      </c>
      <c r="Q162">
        <v>0.76670000000000005</v>
      </c>
      <c r="R162">
        <v>450</v>
      </c>
      <c r="S162" s="1">
        <v>900</v>
      </c>
      <c r="T162" t="s">
        <v>96</v>
      </c>
      <c r="U162" t="s">
        <v>97</v>
      </c>
      <c r="V162" s="1">
        <v>2811.45</v>
      </c>
      <c r="W162" s="2">
        <f>Merged_Clinical_Finance_Data[[#This Row],[Occupied_Beds]]/Merged_Clinical_Finance_Data[[#This Row],[Total_Beds]]</f>
        <v>0.76666666666666672</v>
      </c>
      <c r="X162">
        <f>IF(Merged_Clinical_Finance_Data[[#This Row],[30Day_Readmission]]="Yes",1,0)</f>
        <v>0</v>
      </c>
      <c r="Y162" t="str" cm="1">
        <f t="array" ref="Y16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62" t="str" cm="1">
        <f t="array" ref="Z162">_xlfn.IFS(Merged_Clinical_Finance_Data[[#This Row],[Length_of_Stay_Days]]&lt;3,"Short (&lt;3)",Merged_Clinical_Finance_Data[[#This Row],[Length_of_Stay_Days]]&lt;=7,"Medium (3-7)",TRUE,"Long (&gt;7)")</f>
        <v>Short (&lt;3)</v>
      </c>
      <c r="AA162" s="3">
        <f>EOMONTH(Merged_Clinical_Finance_Data[[#This Row],[Admission_Date]],-1)+1</f>
        <v>45689</v>
      </c>
      <c r="AB162" s="1">
        <f>Merged_Clinical_Finance_Data[[#This Row],[Daily_Bed_Cost_GBP]]*Merged_Clinical_Finance_Data[[#This Row],[Length_of_Stay_Days]]</f>
        <v>900</v>
      </c>
      <c r="AC162" t="str">
        <f>IF(Merged_Clinical_Finance_Data[[#This Row],[Total_Encounter_Cost_Naira]]&gt;AVERAGE(Merged_Clinical_Finance_Data[[#This Row],[Total_Encounter_Cost_Naira]]),"High","Normal")</f>
        <v>Normal</v>
      </c>
    </row>
    <row r="163" spans="1:29" x14ac:dyDescent="0.25">
      <c r="A163" t="s">
        <v>286</v>
      </c>
      <c r="B163" t="s">
        <v>114</v>
      </c>
      <c r="C163" t="s">
        <v>115</v>
      </c>
      <c r="D163" t="s">
        <v>60</v>
      </c>
      <c r="E163" s="3">
        <v>45738</v>
      </c>
      <c r="F163" s="3">
        <v>45742</v>
      </c>
      <c r="G163">
        <v>4.4000000000000004</v>
      </c>
      <c r="H163">
        <v>62</v>
      </c>
      <c r="I163" t="s">
        <v>43</v>
      </c>
      <c r="J163" t="s">
        <v>61</v>
      </c>
      <c r="K163" t="s">
        <v>116</v>
      </c>
      <c r="L163" t="s">
        <v>161</v>
      </c>
      <c r="M163" t="s">
        <v>54</v>
      </c>
      <c r="N163" t="s">
        <v>38</v>
      </c>
      <c r="O163">
        <v>27</v>
      </c>
      <c r="P163">
        <v>30</v>
      </c>
      <c r="Q163">
        <v>0.9</v>
      </c>
      <c r="R163">
        <v>510</v>
      </c>
      <c r="S163" s="1">
        <v>2244</v>
      </c>
      <c r="T163" t="s">
        <v>55</v>
      </c>
      <c r="U163" t="s">
        <v>56</v>
      </c>
      <c r="V163" s="1">
        <v>890.76</v>
      </c>
      <c r="W163" s="2">
        <f>Merged_Clinical_Finance_Data[[#This Row],[Occupied_Beds]]/Merged_Clinical_Finance_Data[[#This Row],[Total_Beds]]</f>
        <v>0.9</v>
      </c>
      <c r="X163">
        <f>IF(Merged_Clinical_Finance_Data[[#This Row],[30Day_Readmission]]="Yes",1,0)</f>
        <v>0</v>
      </c>
      <c r="Y163" t="str" cm="1">
        <f t="array" ref="Y16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63" t="str" cm="1">
        <f t="array" ref="Z163">_xlfn.IFS(Merged_Clinical_Finance_Data[[#This Row],[Length_of_Stay_Days]]&lt;3,"Short (&lt;3)",Merged_Clinical_Finance_Data[[#This Row],[Length_of_Stay_Days]]&lt;=7,"Medium (3-7)",TRUE,"Long (&gt;7)")</f>
        <v>Medium (3-7)</v>
      </c>
      <c r="AA163" s="3">
        <f>EOMONTH(Merged_Clinical_Finance_Data[[#This Row],[Admission_Date]],-1)+1</f>
        <v>45717</v>
      </c>
      <c r="AB163" s="1">
        <f>Merged_Clinical_Finance_Data[[#This Row],[Daily_Bed_Cost_GBP]]*Merged_Clinical_Finance_Data[[#This Row],[Length_of_Stay_Days]]</f>
        <v>2244</v>
      </c>
      <c r="AC163" t="str">
        <f>IF(Merged_Clinical_Finance_Data[[#This Row],[Total_Encounter_Cost_Naira]]&gt;AVERAGE(Merged_Clinical_Finance_Data[[#This Row],[Total_Encounter_Cost_Naira]]),"High","Normal")</f>
        <v>Normal</v>
      </c>
    </row>
    <row r="164" spans="1:29" x14ac:dyDescent="0.25">
      <c r="A164" t="s">
        <v>287</v>
      </c>
      <c r="B164" t="s">
        <v>114</v>
      </c>
      <c r="C164" t="s">
        <v>115</v>
      </c>
      <c r="D164" t="s">
        <v>42</v>
      </c>
      <c r="E164" s="3">
        <v>45804</v>
      </c>
      <c r="F164" s="3">
        <v>45811</v>
      </c>
      <c r="G164">
        <v>7.4</v>
      </c>
      <c r="H164">
        <v>74</v>
      </c>
      <c r="I164" t="s">
        <v>43</v>
      </c>
      <c r="J164" t="s">
        <v>81</v>
      </c>
      <c r="K164" t="s">
        <v>132</v>
      </c>
      <c r="L164" t="s">
        <v>161</v>
      </c>
      <c r="M164" t="s">
        <v>47</v>
      </c>
      <c r="N164" t="s">
        <v>38</v>
      </c>
      <c r="O164">
        <v>25</v>
      </c>
      <c r="P164">
        <v>30</v>
      </c>
      <c r="Q164">
        <v>0.83330000000000004</v>
      </c>
      <c r="R164">
        <v>400</v>
      </c>
      <c r="S164" s="1">
        <v>2960</v>
      </c>
      <c r="T164" t="s">
        <v>89</v>
      </c>
      <c r="U164" t="s">
        <v>90</v>
      </c>
      <c r="V164" s="1">
        <v>8915.92</v>
      </c>
      <c r="W164" s="2">
        <f>Merged_Clinical_Finance_Data[[#This Row],[Occupied_Beds]]/Merged_Clinical_Finance_Data[[#This Row],[Total_Beds]]</f>
        <v>0.83333333333333337</v>
      </c>
      <c r="X164">
        <f>IF(Merged_Clinical_Finance_Data[[#This Row],[30Day_Readmission]]="Yes",1,0)</f>
        <v>0</v>
      </c>
      <c r="Y164" t="str" cm="1">
        <f t="array" ref="Y16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64" t="str" cm="1">
        <f t="array" ref="Z164">_xlfn.IFS(Merged_Clinical_Finance_Data[[#This Row],[Length_of_Stay_Days]]&lt;3,"Short (&lt;3)",Merged_Clinical_Finance_Data[[#This Row],[Length_of_Stay_Days]]&lt;=7,"Medium (3-7)",TRUE,"Long (&gt;7)")</f>
        <v>Long (&gt;7)</v>
      </c>
      <c r="AA164" s="3">
        <f>EOMONTH(Merged_Clinical_Finance_Data[[#This Row],[Admission_Date]],-1)+1</f>
        <v>45778</v>
      </c>
      <c r="AB164" s="1">
        <f>Merged_Clinical_Finance_Data[[#This Row],[Daily_Bed_Cost_GBP]]*Merged_Clinical_Finance_Data[[#This Row],[Length_of_Stay_Days]]</f>
        <v>2960</v>
      </c>
      <c r="AC164" t="str">
        <f>IF(Merged_Clinical_Finance_Data[[#This Row],[Total_Encounter_Cost_Naira]]&gt;AVERAGE(Merged_Clinical_Finance_Data[[#This Row],[Total_Encounter_Cost_Naira]]),"High","Normal")</f>
        <v>Normal</v>
      </c>
    </row>
    <row r="165" spans="1:29" x14ac:dyDescent="0.25">
      <c r="A165" t="s">
        <v>288</v>
      </c>
      <c r="B165" t="s">
        <v>107</v>
      </c>
      <c r="C165" t="s">
        <v>108</v>
      </c>
      <c r="D165" t="s">
        <v>32</v>
      </c>
      <c r="E165" s="3">
        <v>45797</v>
      </c>
      <c r="F165" s="3">
        <v>45801</v>
      </c>
      <c r="G165">
        <v>4.4000000000000004</v>
      </c>
      <c r="H165">
        <v>19</v>
      </c>
      <c r="I165" t="s">
        <v>43</v>
      </c>
      <c r="J165" t="s">
        <v>44</v>
      </c>
      <c r="K165" t="s">
        <v>109</v>
      </c>
      <c r="L165" t="s">
        <v>110</v>
      </c>
      <c r="M165" t="s">
        <v>37</v>
      </c>
      <c r="N165" t="s">
        <v>38</v>
      </c>
      <c r="O165">
        <v>27</v>
      </c>
      <c r="P165">
        <v>30</v>
      </c>
      <c r="Q165">
        <v>0.9</v>
      </c>
      <c r="R165">
        <v>375</v>
      </c>
      <c r="S165" s="1">
        <v>1650</v>
      </c>
      <c r="T165" t="s">
        <v>39</v>
      </c>
      <c r="U165" t="s">
        <v>40</v>
      </c>
      <c r="V165" s="1">
        <v>1410.67</v>
      </c>
      <c r="W165" s="2">
        <f>Merged_Clinical_Finance_Data[[#This Row],[Occupied_Beds]]/Merged_Clinical_Finance_Data[[#This Row],[Total_Beds]]</f>
        <v>0.9</v>
      </c>
      <c r="X165">
        <f>IF(Merged_Clinical_Finance_Data[[#This Row],[30Day_Readmission]]="Yes",1,0)</f>
        <v>0</v>
      </c>
      <c r="Y165" t="str" cm="1">
        <f t="array" ref="Y16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65" t="str" cm="1">
        <f t="array" ref="Z165">_xlfn.IFS(Merged_Clinical_Finance_Data[[#This Row],[Length_of_Stay_Days]]&lt;3,"Short (&lt;3)",Merged_Clinical_Finance_Data[[#This Row],[Length_of_Stay_Days]]&lt;=7,"Medium (3-7)",TRUE,"Long (&gt;7)")</f>
        <v>Medium (3-7)</v>
      </c>
      <c r="AA165" s="3">
        <f>EOMONTH(Merged_Clinical_Finance_Data[[#This Row],[Admission_Date]],-1)+1</f>
        <v>45778</v>
      </c>
      <c r="AB165" s="1">
        <f>Merged_Clinical_Finance_Data[[#This Row],[Daily_Bed_Cost_GBP]]*Merged_Clinical_Finance_Data[[#This Row],[Length_of_Stay_Days]]</f>
        <v>1650.0000000000002</v>
      </c>
      <c r="AC165" t="str">
        <f>IF(Merged_Clinical_Finance_Data[[#This Row],[Total_Encounter_Cost_Naira]]&gt;AVERAGE(Merged_Clinical_Finance_Data[[#This Row],[Total_Encounter_Cost_Naira]]),"High","Normal")</f>
        <v>Normal</v>
      </c>
    </row>
    <row r="166" spans="1:29" x14ac:dyDescent="0.25">
      <c r="A166" t="s">
        <v>289</v>
      </c>
      <c r="B166" t="s">
        <v>114</v>
      </c>
      <c r="C166" t="s">
        <v>115</v>
      </c>
      <c r="D166" t="s">
        <v>42</v>
      </c>
      <c r="E166" s="3">
        <v>45865</v>
      </c>
      <c r="F166" s="3">
        <v>45876</v>
      </c>
      <c r="G166">
        <v>11.7</v>
      </c>
      <c r="H166">
        <v>50</v>
      </c>
      <c r="I166" t="s">
        <v>43</v>
      </c>
      <c r="J166" t="s">
        <v>51</v>
      </c>
      <c r="K166" t="s">
        <v>116</v>
      </c>
      <c r="L166" t="s">
        <v>161</v>
      </c>
      <c r="M166" t="s">
        <v>37</v>
      </c>
      <c r="N166" t="s">
        <v>38</v>
      </c>
      <c r="O166">
        <v>29</v>
      </c>
      <c r="P166">
        <v>30</v>
      </c>
      <c r="Q166">
        <v>0.9667</v>
      </c>
      <c r="R166">
        <v>425</v>
      </c>
      <c r="S166" s="1">
        <v>4972.5</v>
      </c>
      <c r="T166" t="s">
        <v>96</v>
      </c>
      <c r="U166" t="s">
        <v>97</v>
      </c>
      <c r="V166" s="1">
        <v>1542.84</v>
      </c>
      <c r="W166" s="2">
        <f>Merged_Clinical_Finance_Data[[#This Row],[Occupied_Beds]]/Merged_Clinical_Finance_Data[[#This Row],[Total_Beds]]</f>
        <v>0.96666666666666667</v>
      </c>
      <c r="X166">
        <f>IF(Merged_Clinical_Finance_Data[[#This Row],[30Day_Readmission]]="Yes",1,0)</f>
        <v>0</v>
      </c>
      <c r="Y166" t="str" cm="1">
        <f t="array" ref="Y16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66" t="str" cm="1">
        <f t="array" ref="Z166">_xlfn.IFS(Merged_Clinical_Finance_Data[[#This Row],[Length_of_Stay_Days]]&lt;3,"Short (&lt;3)",Merged_Clinical_Finance_Data[[#This Row],[Length_of_Stay_Days]]&lt;=7,"Medium (3-7)",TRUE,"Long (&gt;7)")</f>
        <v>Long (&gt;7)</v>
      </c>
      <c r="AA166" s="3">
        <f>EOMONTH(Merged_Clinical_Finance_Data[[#This Row],[Admission_Date]],-1)+1</f>
        <v>45839</v>
      </c>
      <c r="AB166" s="1">
        <f>Merged_Clinical_Finance_Data[[#This Row],[Daily_Bed_Cost_GBP]]*Merged_Clinical_Finance_Data[[#This Row],[Length_of_Stay_Days]]</f>
        <v>4972.5</v>
      </c>
      <c r="AC166" t="str">
        <f>IF(Merged_Clinical_Finance_Data[[#This Row],[Total_Encounter_Cost_Naira]]&gt;AVERAGE(Merged_Clinical_Finance_Data[[#This Row],[Total_Encounter_Cost_Naira]]),"High","Normal")</f>
        <v>Normal</v>
      </c>
    </row>
    <row r="167" spans="1:29" x14ac:dyDescent="0.25">
      <c r="A167" t="s">
        <v>290</v>
      </c>
      <c r="B167" t="s">
        <v>58</v>
      </c>
      <c r="C167" t="s">
        <v>59</v>
      </c>
      <c r="D167" t="s">
        <v>42</v>
      </c>
      <c r="E167" s="3">
        <v>45888</v>
      </c>
      <c r="F167" s="3">
        <v>45895</v>
      </c>
      <c r="G167">
        <v>7.2</v>
      </c>
      <c r="H167">
        <v>74</v>
      </c>
      <c r="I167" t="s">
        <v>43</v>
      </c>
      <c r="J167" t="s">
        <v>51</v>
      </c>
      <c r="K167" t="s">
        <v>62</v>
      </c>
      <c r="L167" t="s">
        <v>291</v>
      </c>
      <c r="M167" t="s">
        <v>37</v>
      </c>
      <c r="N167" t="s">
        <v>38</v>
      </c>
      <c r="O167">
        <v>29</v>
      </c>
      <c r="P167">
        <v>30</v>
      </c>
      <c r="Q167">
        <v>0.9667</v>
      </c>
      <c r="R167">
        <v>425</v>
      </c>
      <c r="S167" s="1">
        <v>3060</v>
      </c>
      <c r="T167" t="s">
        <v>89</v>
      </c>
      <c r="U167" t="s">
        <v>90</v>
      </c>
      <c r="V167" s="1">
        <v>4146.63</v>
      </c>
      <c r="W167" s="2">
        <f>Merged_Clinical_Finance_Data[[#This Row],[Occupied_Beds]]/Merged_Clinical_Finance_Data[[#This Row],[Total_Beds]]</f>
        <v>0.96666666666666667</v>
      </c>
      <c r="X167">
        <f>IF(Merged_Clinical_Finance_Data[[#This Row],[30Day_Readmission]]="Yes",1,0)</f>
        <v>0</v>
      </c>
      <c r="Y167" t="str" cm="1">
        <f t="array" ref="Y16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67" t="str" cm="1">
        <f t="array" ref="Z167">_xlfn.IFS(Merged_Clinical_Finance_Data[[#This Row],[Length_of_Stay_Days]]&lt;3,"Short (&lt;3)",Merged_Clinical_Finance_Data[[#This Row],[Length_of_Stay_Days]]&lt;=7,"Medium (3-7)",TRUE,"Long (&gt;7)")</f>
        <v>Long (&gt;7)</v>
      </c>
      <c r="AA167" s="3">
        <f>EOMONTH(Merged_Clinical_Finance_Data[[#This Row],[Admission_Date]],-1)+1</f>
        <v>45870</v>
      </c>
      <c r="AB167" s="1">
        <f>Merged_Clinical_Finance_Data[[#This Row],[Daily_Bed_Cost_GBP]]*Merged_Clinical_Finance_Data[[#This Row],[Length_of_Stay_Days]]</f>
        <v>3060</v>
      </c>
      <c r="AC167" t="str">
        <f>IF(Merged_Clinical_Finance_Data[[#This Row],[Total_Encounter_Cost_Naira]]&gt;AVERAGE(Merged_Clinical_Finance_Data[[#This Row],[Total_Encounter_Cost_Naira]]),"High","Normal")</f>
        <v>Normal</v>
      </c>
    </row>
    <row r="168" spans="1:29" x14ac:dyDescent="0.25">
      <c r="A168" t="s">
        <v>292</v>
      </c>
      <c r="B168" t="s">
        <v>58</v>
      </c>
      <c r="C168" t="s">
        <v>59</v>
      </c>
      <c r="D168" t="s">
        <v>32</v>
      </c>
      <c r="E168" s="3">
        <v>45718</v>
      </c>
      <c r="F168" s="3">
        <v>45725</v>
      </c>
      <c r="G168">
        <v>7.6</v>
      </c>
      <c r="H168">
        <v>26</v>
      </c>
      <c r="I168" t="s">
        <v>43</v>
      </c>
      <c r="J168" t="s">
        <v>34</v>
      </c>
      <c r="K168" t="s">
        <v>95</v>
      </c>
      <c r="L168" t="s">
        <v>155</v>
      </c>
      <c r="M168" t="s">
        <v>47</v>
      </c>
      <c r="N168" t="s">
        <v>38</v>
      </c>
      <c r="O168">
        <v>18</v>
      </c>
      <c r="P168">
        <v>30</v>
      </c>
      <c r="Q168">
        <v>0.6</v>
      </c>
      <c r="R168">
        <v>350</v>
      </c>
      <c r="S168" s="1">
        <v>2660</v>
      </c>
      <c r="T168" t="s">
        <v>55</v>
      </c>
      <c r="U168" t="s">
        <v>56</v>
      </c>
      <c r="V168" s="1">
        <v>300.91000000000003</v>
      </c>
      <c r="W168" s="2">
        <f>Merged_Clinical_Finance_Data[[#This Row],[Occupied_Beds]]/Merged_Clinical_Finance_Data[[#This Row],[Total_Beds]]</f>
        <v>0.6</v>
      </c>
      <c r="X168">
        <f>IF(Merged_Clinical_Finance_Data[[#This Row],[30Day_Readmission]]="Yes",1,0)</f>
        <v>0</v>
      </c>
      <c r="Y168" t="str" cm="1">
        <f t="array" ref="Y16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68" t="str" cm="1">
        <f t="array" ref="Z168">_xlfn.IFS(Merged_Clinical_Finance_Data[[#This Row],[Length_of_Stay_Days]]&lt;3,"Short (&lt;3)",Merged_Clinical_Finance_Data[[#This Row],[Length_of_Stay_Days]]&lt;=7,"Medium (3-7)",TRUE,"Long (&gt;7)")</f>
        <v>Long (&gt;7)</v>
      </c>
      <c r="AA168" s="3">
        <f>EOMONTH(Merged_Clinical_Finance_Data[[#This Row],[Admission_Date]],-1)+1</f>
        <v>45717</v>
      </c>
      <c r="AB168" s="1">
        <f>Merged_Clinical_Finance_Data[[#This Row],[Daily_Bed_Cost_GBP]]*Merged_Clinical_Finance_Data[[#This Row],[Length_of_Stay_Days]]</f>
        <v>2660</v>
      </c>
      <c r="AC168" t="str">
        <f>IF(Merged_Clinical_Finance_Data[[#This Row],[Total_Encounter_Cost_Naira]]&gt;AVERAGE(Merged_Clinical_Finance_Data[[#This Row],[Total_Encounter_Cost_Naira]]),"High","Normal")</f>
        <v>Normal</v>
      </c>
    </row>
    <row r="169" spans="1:29" x14ac:dyDescent="0.25">
      <c r="A169" t="s">
        <v>293</v>
      </c>
      <c r="B169" t="s">
        <v>67</v>
      </c>
      <c r="C169" t="s">
        <v>68</v>
      </c>
      <c r="D169" t="s">
        <v>32</v>
      </c>
      <c r="E169" s="3">
        <v>45784</v>
      </c>
      <c r="F169" s="3">
        <v>45790</v>
      </c>
      <c r="G169">
        <v>6.9</v>
      </c>
      <c r="H169">
        <v>62</v>
      </c>
      <c r="I169" t="s">
        <v>43</v>
      </c>
      <c r="J169" t="s">
        <v>44</v>
      </c>
      <c r="K169" t="s">
        <v>76</v>
      </c>
      <c r="L169" t="s">
        <v>70</v>
      </c>
      <c r="M169" t="s">
        <v>47</v>
      </c>
      <c r="N169" t="s">
        <v>38</v>
      </c>
      <c r="O169">
        <v>24</v>
      </c>
      <c r="P169">
        <v>30</v>
      </c>
      <c r="Q169">
        <v>0.8</v>
      </c>
      <c r="R169">
        <v>425</v>
      </c>
      <c r="S169" s="1">
        <v>2932.5</v>
      </c>
      <c r="T169" t="s">
        <v>136</v>
      </c>
      <c r="U169" t="s">
        <v>137</v>
      </c>
      <c r="V169" s="1">
        <v>2815.76</v>
      </c>
      <c r="W169" s="2">
        <f>Merged_Clinical_Finance_Data[[#This Row],[Occupied_Beds]]/Merged_Clinical_Finance_Data[[#This Row],[Total_Beds]]</f>
        <v>0.8</v>
      </c>
      <c r="X169">
        <f>IF(Merged_Clinical_Finance_Data[[#This Row],[30Day_Readmission]]="Yes",1,0)</f>
        <v>0</v>
      </c>
      <c r="Y169" t="str" cm="1">
        <f t="array" ref="Y16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69" t="str" cm="1">
        <f t="array" ref="Z169">_xlfn.IFS(Merged_Clinical_Finance_Data[[#This Row],[Length_of_Stay_Days]]&lt;3,"Short (&lt;3)",Merged_Clinical_Finance_Data[[#This Row],[Length_of_Stay_Days]]&lt;=7,"Medium (3-7)",TRUE,"Long (&gt;7)")</f>
        <v>Medium (3-7)</v>
      </c>
      <c r="AA169" s="3">
        <f>EOMONTH(Merged_Clinical_Finance_Data[[#This Row],[Admission_Date]],-1)+1</f>
        <v>45778</v>
      </c>
      <c r="AB169" s="1">
        <f>Merged_Clinical_Finance_Data[[#This Row],[Daily_Bed_Cost_GBP]]*Merged_Clinical_Finance_Data[[#This Row],[Length_of_Stay_Days]]</f>
        <v>2932.5</v>
      </c>
      <c r="AC169" t="str">
        <f>IF(Merged_Clinical_Finance_Data[[#This Row],[Total_Encounter_Cost_Naira]]&gt;AVERAGE(Merged_Clinical_Finance_Data[[#This Row],[Total_Encounter_Cost_Naira]]),"High","Normal")</f>
        <v>Normal</v>
      </c>
    </row>
    <row r="170" spans="1:29" x14ac:dyDescent="0.25">
      <c r="A170" t="s">
        <v>294</v>
      </c>
      <c r="B170" t="s">
        <v>79</v>
      </c>
      <c r="C170" t="s">
        <v>80</v>
      </c>
      <c r="D170" t="s">
        <v>42</v>
      </c>
      <c r="E170" s="3">
        <v>45726</v>
      </c>
      <c r="F170" s="3">
        <v>45727</v>
      </c>
      <c r="G170">
        <v>1</v>
      </c>
      <c r="H170">
        <v>25</v>
      </c>
      <c r="I170" t="s">
        <v>43</v>
      </c>
      <c r="J170" t="s">
        <v>34</v>
      </c>
      <c r="K170" t="s">
        <v>82</v>
      </c>
      <c r="L170" t="s">
        <v>88</v>
      </c>
      <c r="M170" t="s">
        <v>47</v>
      </c>
      <c r="N170" t="s">
        <v>38</v>
      </c>
      <c r="O170">
        <v>28</v>
      </c>
      <c r="P170">
        <v>30</v>
      </c>
      <c r="Q170">
        <v>0.93330000000000002</v>
      </c>
      <c r="R170">
        <v>375</v>
      </c>
      <c r="S170" s="1">
        <v>375</v>
      </c>
      <c r="T170" t="s">
        <v>84</v>
      </c>
      <c r="U170" t="s">
        <v>85</v>
      </c>
      <c r="V170" s="1">
        <v>3395.37</v>
      </c>
      <c r="W170" s="2">
        <f>Merged_Clinical_Finance_Data[[#This Row],[Occupied_Beds]]/Merged_Clinical_Finance_Data[[#This Row],[Total_Beds]]</f>
        <v>0.93333333333333335</v>
      </c>
      <c r="X170">
        <f>IF(Merged_Clinical_Finance_Data[[#This Row],[30Day_Readmission]]="Yes",1,0)</f>
        <v>0</v>
      </c>
      <c r="Y170" t="str" cm="1">
        <f t="array" ref="Y17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70" t="str" cm="1">
        <f t="array" ref="Z170">_xlfn.IFS(Merged_Clinical_Finance_Data[[#This Row],[Length_of_Stay_Days]]&lt;3,"Short (&lt;3)",Merged_Clinical_Finance_Data[[#This Row],[Length_of_Stay_Days]]&lt;=7,"Medium (3-7)",TRUE,"Long (&gt;7)")</f>
        <v>Short (&lt;3)</v>
      </c>
      <c r="AA170" s="3">
        <f>EOMONTH(Merged_Clinical_Finance_Data[[#This Row],[Admission_Date]],-1)+1</f>
        <v>45717</v>
      </c>
      <c r="AB170" s="1">
        <f>Merged_Clinical_Finance_Data[[#This Row],[Daily_Bed_Cost_GBP]]*Merged_Clinical_Finance_Data[[#This Row],[Length_of_Stay_Days]]</f>
        <v>375</v>
      </c>
      <c r="AC170" t="str">
        <f>IF(Merged_Clinical_Finance_Data[[#This Row],[Total_Encounter_Cost_Naira]]&gt;AVERAGE(Merged_Clinical_Finance_Data[[#This Row],[Total_Encounter_Cost_Naira]]),"High","Normal")</f>
        <v>Normal</v>
      </c>
    </row>
    <row r="171" spans="1:29" x14ac:dyDescent="0.25">
      <c r="A171" t="s">
        <v>295</v>
      </c>
      <c r="B171" t="s">
        <v>58</v>
      </c>
      <c r="C171" t="s">
        <v>59</v>
      </c>
      <c r="D171" t="s">
        <v>42</v>
      </c>
      <c r="E171" s="3">
        <v>45748</v>
      </c>
      <c r="F171" s="3">
        <v>45755</v>
      </c>
      <c r="G171">
        <v>7.4</v>
      </c>
      <c r="H171">
        <v>41</v>
      </c>
      <c r="I171" t="s">
        <v>43</v>
      </c>
      <c r="J171" t="s">
        <v>51</v>
      </c>
      <c r="K171" t="s">
        <v>95</v>
      </c>
      <c r="L171" t="s">
        <v>291</v>
      </c>
      <c r="M171" t="s">
        <v>47</v>
      </c>
      <c r="N171" t="s">
        <v>38</v>
      </c>
      <c r="O171">
        <v>14</v>
      </c>
      <c r="P171">
        <v>30</v>
      </c>
      <c r="Q171">
        <v>0.4667</v>
      </c>
      <c r="R171">
        <v>375</v>
      </c>
      <c r="S171" s="1">
        <v>2775</v>
      </c>
      <c r="T171" t="s">
        <v>89</v>
      </c>
      <c r="U171" t="s">
        <v>90</v>
      </c>
      <c r="V171" s="1">
        <v>5206.1499999999996</v>
      </c>
      <c r="W171" s="2">
        <f>Merged_Clinical_Finance_Data[[#This Row],[Occupied_Beds]]/Merged_Clinical_Finance_Data[[#This Row],[Total_Beds]]</f>
        <v>0.46666666666666667</v>
      </c>
      <c r="X171">
        <f>IF(Merged_Clinical_Finance_Data[[#This Row],[30Day_Readmission]]="Yes",1,0)</f>
        <v>0</v>
      </c>
      <c r="Y171" t="str" cm="1">
        <f t="array" ref="Y17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71" t="str" cm="1">
        <f t="array" ref="Z171">_xlfn.IFS(Merged_Clinical_Finance_Data[[#This Row],[Length_of_Stay_Days]]&lt;3,"Short (&lt;3)",Merged_Clinical_Finance_Data[[#This Row],[Length_of_Stay_Days]]&lt;=7,"Medium (3-7)",TRUE,"Long (&gt;7)")</f>
        <v>Long (&gt;7)</v>
      </c>
      <c r="AA171" s="3">
        <f>EOMONTH(Merged_Clinical_Finance_Data[[#This Row],[Admission_Date]],-1)+1</f>
        <v>45748</v>
      </c>
      <c r="AB171" s="1">
        <f>Merged_Clinical_Finance_Data[[#This Row],[Daily_Bed_Cost_GBP]]*Merged_Clinical_Finance_Data[[#This Row],[Length_of_Stay_Days]]</f>
        <v>2775</v>
      </c>
      <c r="AC171" t="str">
        <f>IF(Merged_Clinical_Finance_Data[[#This Row],[Total_Encounter_Cost_Naira]]&gt;AVERAGE(Merged_Clinical_Finance_Data[[#This Row],[Total_Encounter_Cost_Naira]]),"High","Normal")</f>
        <v>Normal</v>
      </c>
    </row>
    <row r="172" spans="1:29" x14ac:dyDescent="0.25">
      <c r="A172" t="s">
        <v>296</v>
      </c>
      <c r="B172" t="s">
        <v>58</v>
      </c>
      <c r="C172" t="s">
        <v>59</v>
      </c>
      <c r="D172" t="s">
        <v>60</v>
      </c>
      <c r="E172" s="3">
        <v>45733</v>
      </c>
      <c r="F172" s="3">
        <v>45737</v>
      </c>
      <c r="G172">
        <v>4.8</v>
      </c>
      <c r="H172">
        <v>85</v>
      </c>
      <c r="I172" t="s">
        <v>43</v>
      </c>
      <c r="J172" t="s">
        <v>81</v>
      </c>
      <c r="K172" t="s">
        <v>95</v>
      </c>
      <c r="L172" t="s">
        <v>291</v>
      </c>
      <c r="M172" t="s">
        <v>47</v>
      </c>
      <c r="N172" t="s">
        <v>38</v>
      </c>
      <c r="O172">
        <v>18</v>
      </c>
      <c r="P172">
        <v>30</v>
      </c>
      <c r="Q172">
        <v>0.6</v>
      </c>
      <c r="R172">
        <v>425</v>
      </c>
      <c r="S172" s="1">
        <v>2040</v>
      </c>
      <c r="T172" t="s">
        <v>84</v>
      </c>
      <c r="U172" t="s">
        <v>85</v>
      </c>
      <c r="V172" s="1">
        <v>7776.39</v>
      </c>
      <c r="W172" s="2">
        <f>Merged_Clinical_Finance_Data[[#This Row],[Occupied_Beds]]/Merged_Clinical_Finance_Data[[#This Row],[Total_Beds]]</f>
        <v>0.6</v>
      </c>
      <c r="X172">
        <f>IF(Merged_Clinical_Finance_Data[[#This Row],[30Day_Readmission]]="Yes",1,0)</f>
        <v>0</v>
      </c>
      <c r="Y172" t="str" cm="1">
        <f t="array" ref="Y17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172" t="str" cm="1">
        <f t="array" ref="Z172">_xlfn.IFS(Merged_Clinical_Finance_Data[[#This Row],[Length_of_Stay_Days]]&lt;3,"Short (&lt;3)",Merged_Clinical_Finance_Data[[#This Row],[Length_of_Stay_Days]]&lt;=7,"Medium (3-7)",TRUE,"Long (&gt;7)")</f>
        <v>Medium (3-7)</v>
      </c>
      <c r="AA172" s="3">
        <f>EOMONTH(Merged_Clinical_Finance_Data[[#This Row],[Admission_Date]],-1)+1</f>
        <v>45717</v>
      </c>
      <c r="AB172" s="1">
        <f>Merged_Clinical_Finance_Data[[#This Row],[Daily_Bed_Cost_GBP]]*Merged_Clinical_Finance_Data[[#This Row],[Length_of_Stay_Days]]</f>
        <v>2040</v>
      </c>
      <c r="AC172" t="str">
        <f>IF(Merged_Clinical_Finance_Data[[#This Row],[Total_Encounter_Cost_Naira]]&gt;AVERAGE(Merged_Clinical_Finance_Data[[#This Row],[Total_Encounter_Cost_Naira]]),"High","Normal")</f>
        <v>Normal</v>
      </c>
    </row>
    <row r="173" spans="1:29" x14ac:dyDescent="0.25">
      <c r="A173" t="s">
        <v>297</v>
      </c>
      <c r="B173" t="s">
        <v>49</v>
      </c>
      <c r="C173" t="s">
        <v>50</v>
      </c>
      <c r="D173" t="s">
        <v>42</v>
      </c>
      <c r="E173" s="3">
        <v>45894</v>
      </c>
      <c r="F173" s="3">
        <v>45903</v>
      </c>
      <c r="G173">
        <v>9</v>
      </c>
      <c r="H173">
        <v>32</v>
      </c>
      <c r="I173" t="s">
        <v>43</v>
      </c>
      <c r="J173" t="s">
        <v>61</v>
      </c>
      <c r="K173" t="s">
        <v>143</v>
      </c>
      <c r="L173" t="s">
        <v>150</v>
      </c>
      <c r="M173" t="s">
        <v>47</v>
      </c>
      <c r="N173" t="s">
        <v>38</v>
      </c>
      <c r="O173">
        <v>27</v>
      </c>
      <c r="P173">
        <v>30</v>
      </c>
      <c r="Q173">
        <v>0.9</v>
      </c>
      <c r="R173">
        <v>510</v>
      </c>
      <c r="S173" s="1">
        <v>4590</v>
      </c>
      <c r="T173" t="s">
        <v>136</v>
      </c>
      <c r="U173" t="s">
        <v>137</v>
      </c>
      <c r="V173" s="1">
        <v>4086.22</v>
      </c>
      <c r="W173" s="2">
        <f>Merged_Clinical_Finance_Data[[#This Row],[Occupied_Beds]]/Merged_Clinical_Finance_Data[[#This Row],[Total_Beds]]</f>
        <v>0.9</v>
      </c>
      <c r="X173">
        <f>IF(Merged_Clinical_Finance_Data[[#This Row],[30Day_Readmission]]="Yes",1,0)</f>
        <v>0</v>
      </c>
      <c r="Y173" t="str" cm="1">
        <f t="array" ref="Y17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73" t="str" cm="1">
        <f t="array" ref="Z173">_xlfn.IFS(Merged_Clinical_Finance_Data[[#This Row],[Length_of_Stay_Days]]&lt;3,"Short (&lt;3)",Merged_Clinical_Finance_Data[[#This Row],[Length_of_Stay_Days]]&lt;=7,"Medium (3-7)",TRUE,"Long (&gt;7)")</f>
        <v>Long (&gt;7)</v>
      </c>
      <c r="AA173" s="3">
        <f>EOMONTH(Merged_Clinical_Finance_Data[[#This Row],[Admission_Date]],-1)+1</f>
        <v>45870</v>
      </c>
      <c r="AB173" s="1">
        <f>Merged_Clinical_Finance_Data[[#This Row],[Daily_Bed_Cost_GBP]]*Merged_Clinical_Finance_Data[[#This Row],[Length_of_Stay_Days]]</f>
        <v>4590</v>
      </c>
      <c r="AC173" t="str">
        <f>IF(Merged_Clinical_Finance_Data[[#This Row],[Total_Encounter_Cost_Naira]]&gt;AVERAGE(Merged_Clinical_Finance_Data[[#This Row],[Total_Encounter_Cost_Naira]]),"High","Normal")</f>
        <v>Normal</v>
      </c>
    </row>
    <row r="174" spans="1:29" x14ac:dyDescent="0.25">
      <c r="A174" t="s">
        <v>298</v>
      </c>
      <c r="B174" t="s">
        <v>67</v>
      </c>
      <c r="C174" t="s">
        <v>68</v>
      </c>
      <c r="D174" t="s">
        <v>42</v>
      </c>
      <c r="E174" s="3">
        <v>45777</v>
      </c>
      <c r="F174" s="3">
        <v>45783</v>
      </c>
      <c r="G174">
        <v>6.3</v>
      </c>
      <c r="H174">
        <v>79</v>
      </c>
      <c r="I174" t="s">
        <v>33</v>
      </c>
      <c r="J174" t="s">
        <v>34</v>
      </c>
      <c r="K174" t="s">
        <v>76</v>
      </c>
      <c r="L174" t="s">
        <v>167</v>
      </c>
      <c r="M174" t="s">
        <v>47</v>
      </c>
      <c r="N174" t="s">
        <v>38</v>
      </c>
      <c r="O174">
        <v>24</v>
      </c>
      <c r="P174">
        <v>30</v>
      </c>
      <c r="Q174">
        <v>0.8</v>
      </c>
      <c r="R174">
        <v>350</v>
      </c>
      <c r="S174" s="1">
        <v>2205</v>
      </c>
      <c r="T174" t="s">
        <v>136</v>
      </c>
      <c r="U174" t="s">
        <v>137</v>
      </c>
      <c r="V174" s="1">
        <v>3027.23</v>
      </c>
      <c r="W174" s="2">
        <f>Merged_Clinical_Finance_Data[[#This Row],[Occupied_Beds]]/Merged_Clinical_Finance_Data[[#This Row],[Total_Beds]]</f>
        <v>0.8</v>
      </c>
      <c r="X174">
        <f>IF(Merged_Clinical_Finance_Data[[#This Row],[30Day_Readmission]]="Yes",1,0)</f>
        <v>0</v>
      </c>
      <c r="Y174" t="str" cm="1">
        <f t="array" ref="Y17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74" t="str" cm="1">
        <f t="array" ref="Z174">_xlfn.IFS(Merged_Clinical_Finance_Data[[#This Row],[Length_of_Stay_Days]]&lt;3,"Short (&lt;3)",Merged_Clinical_Finance_Data[[#This Row],[Length_of_Stay_Days]]&lt;=7,"Medium (3-7)",TRUE,"Long (&gt;7)")</f>
        <v>Medium (3-7)</v>
      </c>
      <c r="AA174" s="3">
        <f>EOMONTH(Merged_Clinical_Finance_Data[[#This Row],[Admission_Date]],-1)+1</f>
        <v>45748</v>
      </c>
      <c r="AB174" s="1">
        <f>Merged_Clinical_Finance_Data[[#This Row],[Daily_Bed_Cost_GBP]]*Merged_Clinical_Finance_Data[[#This Row],[Length_of_Stay_Days]]</f>
        <v>2205</v>
      </c>
      <c r="AC174" t="str">
        <f>IF(Merged_Clinical_Finance_Data[[#This Row],[Total_Encounter_Cost_Naira]]&gt;AVERAGE(Merged_Clinical_Finance_Data[[#This Row],[Total_Encounter_Cost_Naira]]),"High","Normal")</f>
        <v>Normal</v>
      </c>
    </row>
    <row r="175" spans="1:29" x14ac:dyDescent="0.25">
      <c r="A175" t="s">
        <v>299</v>
      </c>
      <c r="B175" t="s">
        <v>49</v>
      </c>
      <c r="C175" t="s">
        <v>50</v>
      </c>
      <c r="D175" t="s">
        <v>42</v>
      </c>
      <c r="E175" s="3">
        <v>45856</v>
      </c>
      <c r="F175" s="3">
        <v>45865</v>
      </c>
      <c r="G175">
        <v>9.3000000000000007</v>
      </c>
      <c r="H175">
        <v>76</v>
      </c>
      <c r="I175" t="s">
        <v>33</v>
      </c>
      <c r="J175" t="s">
        <v>81</v>
      </c>
      <c r="K175" t="s">
        <v>52</v>
      </c>
      <c r="L175" t="s">
        <v>53</v>
      </c>
      <c r="M175" t="s">
        <v>37</v>
      </c>
      <c r="N175" t="s">
        <v>38</v>
      </c>
      <c r="O175">
        <v>27</v>
      </c>
      <c r="P175">
        <v>30</v>
      </c>
      <c r="Q175">
        <v>0.9</v>
      </c>
      <c r="R175">
        <v>375</v>
      </c>
      <c r="S175" s="1">
        <v>3487.5</v>
      </c>
      <c r="T175" t="s">
        <v>39</v>
      </c>
      <c r="U175" t="s">
        <v>40</v>
      </c>
      <c r="V175" s="1">
        <v>1093.93</v>
      </c>
      <c r="W175" s="2">
        <f>Merged_Clinical_Finance_Data[[#This Row],[Occupied_Beds]]/Merged_Clinical_Finance_Data[[#This Row],[Total_Beds]]</f>
        <v>0.9</v>
      </c>
      <c r="X175">
        <f>IF(Merged_Clinical_Finance_Data[[#This Row],[30Day_Readmission]]="Yes",1,0)</f>
        <v>0</v>
      </c>
      <c r="Y175" t="str" cm="1">
        <f t="array" ref="Y17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75" t="str" cm="1">
        <f t="array" ref="Z175">_xlfn.IFS(Merged_Clinical_Finance_Data[[#This Row],[Length_of_Stay_Days]]&lt;3,"Short (&lt;3)",Merged_Clinical_Finance_Data[[#This Row],[Length_of_Stay_Days]]&lt;=7,"Medium (3-7)",TRUE,"Long (&gt;7)")</f>
        <v>Long (&gt;7)</v>
      </c>
      <c r="AA175" s="3">
        <f>EOMONTH(Merged_Clinical_Finance_Data[[#This Row],[Admission_Date]],-1)+1</f>
        <v>45839</v>
      </c>
      <c r="AB175" s="1">
        <f>Merged_Clinical_Finance_Data[[#This Row],[Daily_Bed_Cost_GBP]]*Merged_Clinical_Finance_Data[[#This Row],[Length_of_Stay_Days]]</f>
        <v>3487.5000000000005</v>
      </c>
      <c r="AC175" t="str">
        <f>IF(Merged_Clinical_Finance_Data[[#This Row],[Total_Encounter_Cost_Naira]]&gt;AVERAGE(Merged_Clinical_Finance_Data[[#This Row],[Total_Encounter_Cost_Naira]]),"High","Normal")</f>
        <v>Normal</v>
      </c>
    </row>
    <row r="176" spans="1:29" x14ac:dyDescent="0.25">
      <c r="A176" t="s">
        <v>300</v>
      </c>
      <c r="B176" t="s">
        <v>49</v>
      </c>
      <c r="C176" t="s">
        <v>50</v>
      </c>
      <c r="D176" t="s">
        <v>42</v>
      </c>
      <c r="E176" s="3">
        <v>45738</v>
      </c>
      <c r="F176" s="3">
        <v>45741</v>
      </c>
      <c r="G176">
        <v>3.9</v>
      </c>
      <c r="H176">
        <v>34</v>
      </c>
      <c r="I176" t="s">
        <v>43</v>
      </c>
      <c r="J176" t="s">
        <v>81</v>
      </c>
      <c r="K176" t="s">
        <v>52</v>
      </c>
      <c r="L176" t="s">
        <v>150</v>
      </c>
      <c r="M176" t="s">
        <v>47</v>
      </c>
      <c r="N176" t="s">
        <v>38</v>
      </c>
      <c r="O176">
        <v>29</v>
      </c>
      <c r="P176">
        <v>30</v>
      </c>
      <c r="Q176">
        <v>0.9667</v>
      </c>
      <c r="R176">
        <v>425</v>
      </c>
      <c r="S176" s="1">
        <v>1657.5</v>
      </c>
      <c r="T176" t="s">
        <v>89</v>
      </c>
      <c r="U176" t="s">
        <v>90</v>
      </c>
      <c r="V176" s="1">
        <v>2595.98</v>
      </c>
      <c r="W176" s="2">
        <f>Merged_Clinical_Finance_Data[[#This Row],[Occupied_Beds]]/Merged_Clinical_Finance_Data[[#This Row],[Total_Beds]]</f>
        <v>0.96666666666666667</v>
      </c>
      <c r="X176">
        <f>IF(Merged_Clinical_Finance_Data[[#This Row],[30Day_Readmission]]="Yes",1,0)</f>
        <v>0</v>
      </c>
      <c r="Y176" t="str" cm="1">
        <f t="array" ref="Y17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76" t="str" cm="1">
        <f t="array" ref="Z176">_xlfn.IFS(Merged_Clinical_Finance_Data[[#This Row],[Length_of_Stay_Days]]&lt;3,"Short (&lt;3)",Merged_Clinical_Finance_Data[[#This Row],[Length_of_Stay_Days]]&lt;=7,"Medium (3-7)",TRUE,"Long (&gt;7)")</f>
        <v>Medium (3-7)</v>
      </c>
      <c r="AA176" s="3">
        <f>EOMONTH(Merged_Clinical_Finance_Data[[#This Row],[Admission_Date]],-1)+1</f>
        <v>45717</v>
      </c>
      <c r="AB176" s="1">
        <f>Merged_Clinical_Finance_Data[[#This Row],[Daily_Bed_Cost_GBP]]*Merged_Clinical_Finance_Data[[#This Row],[Length_of_Stay_Days]]</f>
        <v>1657.5</v>
      </c>
      <c r="AC176" t="str">
        <f>IF(Merged_Clinical_Finance_Data[[#This Row],[Total_Encounter_Cost_Naira]]&gt;AVERAGE(Merged_Clinical_Finance_Data[[#This Row],[Total_Encounter_Cost_Naira]]),"High","Normal")</f>
        <v>Normal</v>
      </c>
    </row>
    <row r="177" spans="1:29" x14ac:dyDescent="0.25">
      <c r="A177" t="s">
        <v>301</v>
      </c>
      <c r="B177" t="s">
        <v>114</v>
      </c>
      <c r="C177" t="s">
        <v>115</v>
      </c>
      <c r="D177" t="s">
        <v>42</v>
      </c>
      <c r="E177" s="3">
        <v>45890</v>
      </c>
      <c r="F177" s="3">
        <v>45902</v>
      </c>
      <c r="G177">
        <v>12.6</v>
      </c>
      <c r="H177">
        <v>37</v>
      </c>
      <c r="I177" t="s">
        <v>43</v>
      </c>
      <c r="J177" t="s">
        <v>73</v>
      </c>
      <c r="K177" t="s">
        <v>132</v>
      </c>
      <c r="L177" t="s">
        <v>139</v>
      </c>
      <c r="M177" t="s">
        <v>47</v>
      </c>
      <c r="N177" t="s">
        <v>38</v>
      </c>
      <c r="O177">
        <v>27</v>
      </c>
      <c r="P177">
        <v>30</v>
      </c>
      <c r="Q177">
        <v>0.9</v>
      </c>
      <c r="R177">
        <v>480</v>
      </c>
      <c r="S177" s="1">
        <v>6048</v>
      </c>
      <c r="T177" t="s">
        <v>111</v>
      </c>
      <c r="U177" t="s">
        <v>112</v>
      </c>
      <c r="V177" s="1">
        <v>1147.4000000000001</v>
      </c>
      <c r="W177" s="2">
        <f>Merged_Clinical_Finance_Data[[#This Row],[Occupied_Beds]]/Merged_Clinical_Finance_Data[[#This Row],[Total_Beds]]</f>
        <v>0.9</v>
      </c>
      <c r="X177">
        <f>IF(Merged_Clinical_Finance_Data[[#This Row],[30Day_Readmission]]="Yes",1,0)</f>
        <v>0</v>
      </c>
      <c r="Y177" t="str" cm="1">
        <f t="array" ref="Y17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77" t="str" cm="1">
        <f t="array" ref="Z177">_xlfn.IFS(Merged_Clinical_Finance_Data[[#This Row],[Length_of_Stay_Days]]&lt;3,"Short (&lt;3)",Merged_Clinical_Finance_Data[[#This Row],[Length_of_Stay_Days]]&lt;=7,"Medium (3-7)",TRUE,"Long (&gt;7)")</f>
        <v>Long (&gt;7)</v>
      </c>
      <c r="AA177" s="3">
        <f>EOMONTH(Merged_Clinical_Finance_Data[[#This Row],[Admission_Date]],-1)+1</f>
        <v>45870</v>
      </c>
      <c r="AB177" s="1">
        <f>Merged_Clinical_Finance_Data[[#This Row],[Daily_Bed_Cost_GBP]]*Merged_Clinical_Finance_Data[[#This Row],[Length_of_Stay_Days]]</f>
        <v>6048</v>
      </c>
      <c r="AC177" t="str">
        <f>IF(Merged_Clinical_Finance_Data[[#This Row],[Total_Encounter_Cost_Naira]]&gt;AVERAGE(Merged_Clinical_Finance_Data[[#This Row],[Total_Encounter_Cost_Naira]]),"High","Normal")</f>
        <v>Normal</v>
      </c>
    </row>
    <row r="178" spans="1:29" x14ac:dyDescent="0.25">
      <c r="A178" t="s">
        <v>302</v>
      </c>
      <c r="B178" t="s">
        <v>49</v>
      </c>
      <c r="C178" t="s">
        <v>50</v>
      </c>
      <c r="D178" t="s">
        <v>42</v>
      </c>
      <c r="E178" s="3">
        <v>45779</v>
      </c>
      <c r="F178" s="3">
        <v>45785</v>
      </c>
      <c r="G178">
        <v>6.9</v>
      </c>
      <c r="H178">
        <v>87</v>
      </c>
      <c r="I178" t="s">
        <v>43</v>
      </c>
      <c r="J178" t="s">
        <v>61</v>
      </c>
      <c r="K178" t="s">
        <v>143</v>
      </c>
      <c r="L178" t="s">
        <v>179</v>
      </c>
      <c r="M178" t="s">
        <v>47</v>
      </c>
      <c r="N178" t="s">
        <v>38</v>
      </c>
      <c r="O178">
        <v>18</v>
      </c>
      <c r="P178">
        <v>30</v>
      </c>
      <c r="Q178">
        <v>0.6</v>
      </c>
      <c r="R178">
        <v>425</v>
      </c>
      <c r="S178" s="1">
        <v>2932.5</v>
      </c>
      <c r="T178" t="s">
        <v>89</v>
      </c>
      <c r="U178" t="s">
        <v>90</v>
      </c>
      <c r="V178" s="1">
        <v>3013.31</v>
      </c>
      <c r="W178" s="2">
        <f>Merged_Clinical_Finance_Data[[#This Row],[Occupied_Beds]]/Merged_Clinical_Finance_Data[[#This Row],[Total_Beds]]</f>
        <v>0.6</v>
      </c>
      <c r="X178">
        <f>IF(Merged_Clinical_Finance_Data[[#This Row],[30Day_Readmission]]="Yes",1,0)</f>
        <v>0</v>
      </c>
      <c r="Y178" t="str" cm="1">
        <f t="array" ref="Y17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178" t="str" cm="1">
        <f t="array" ref="Z178">_xlfn.IFS(Merged_Clinical_Finance_Data[[#This Row],[Length_of_Stay_Days]]&lt;3,"Short (&lt;3)",Merged_Clinical_Finance_Data[[#This Row],[Length_of_Stay_Days]]&lt;=7,"Medium (3-7)",TRUE,"Long (&gt;7)")</f>
        <v>Medium (3-7)</v>
      </c>
      <c r="AA178" s="3">
        <f>EOMONTH(Merged_Clinical_Finance_Data[[#This Row],[Admission_Date]],-1)+1</f>
        <v>45778</v>
      </c>
      <c r="AB178" s="1">
        <f>Merged_Clinical_Finance_Data[[#This Row],[Daily_Bed_Cost_GBP]]*Merged_Clinical_Finance_Data[[#This Row],[Length_of_Stay_Days]]</f>
        <v>2932.5</v>
      </c>
      <c r="AC178" t="str">
        <f>IF(Merged_Clinical_Finance_Data[[#This Row],[Total_Encounter_Cost_Naira]]&gt;AVERAGE(Merged_Clinical_Finance_Data[[#This Row],[Total_Encounter_Cost_Naira]]),"High","Normal")</f>
        <v>Normal</v>
      </c>
    </row>
    <row r="179" spans="1:29" x14ac:dyDescent="0.25">
      <c r="A179" t="s">
        <v>303</v>
      </c>
      <c r="B179" t="s">
        <v>107</v>
      </c>
      <c r="C179" t="s">
        <v>108</v>
      </c>
      <c r="D179" t="s">
        <v>42</v>
      </c>
      <c r="E179" s="3">
        <v>45682</v>
      </c>
      <c r="F179" s="3">
        <v>45689</v>
      </c>
      <c r="G179">
        <v>7</v>
      </c>
      <c r="H179">
        <v>31</v>
      </c>
      <c r="I179" t="s">
        <v>33</v>
      </c>
      <c r="J179" t="s">
        <v>73</v>
      </c>
      <c r="K179" t="s">
        <v>109</v>
      </c>
      <c r="L179" t="s">
        <v>110</v>
      </c>
      <c r="M179" t="s">
        <v>37</v>
      </c>
      <c r="N179" t="s">
        <v>38</v>
      </c>
      <c r="O179">
        <v>14</v>
      </c>
      <c r="P179">
        <v>30</v>
      </c>
      <c r="Q179">
        <v>0.4667</v>
      </c>
      <c r="R179">
        <v>425</v>
      </c>
      <c r="S179" s="1">
        <v>2975</v>
      </c>
      <c r="T179" t="s">
        <v>55</v>
      </c>
      <c r="U179" t="s">
        <v>56</v>
      </c>
      <c r="V179" s="1">
        <v>1001.32</v>
      </c>
      <c r="W179" s="2">
        <f>Merged_Clinical_Finance_Data[[#This Row],[Occupied_Beds]]/Merged_Clinical_Finance_Data[[#This Row],[Total_Beds]]</f>
        <v>0.46666666666666667</v>
      </c>
      <c r="X179">
        <f>IF(Merged_Clinical_Finance_Data[[#This Row],[30Day_Readmission]]="Yes",1,0)</f>
        <v>0</v>
      </c>
      <c r="Y179" t="str" cm="1">
        <f t="array" ref="Y17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79" t="str" cm="1">
        <f t="array" ref="Z179">_xlfn.IFS(Merged_Clinical_Finance_Data[[#This Row],[Length_of_Stay_Days]]&lt;3,"Short (&lt;3)",Merged_Clinical_Finance_Data[[#This Row],[Length_of_Stay_Days]]&lt;=7,"Medium (3-7)",TRUE,"Long (&gt;7)")</f>
        <v>Medium (3-7)</v>
      </c>
      <c r="AA179" s="3">
        <f>EOMONTH(Merged_Clinical_Finance_Data[[#This Row],[Admission_Date]],-1)+1</f>
        <v>45658</v>
      </c>
      <c r="AB179" s="1">
        <f>Merged_Clinical_Finance_Data[[#This Row],[Daily_Bed_Cost_GBP]]*Merged_Clinical_Finance_Data[[#This Row],[Length_of_Stay_Days]]</f>
        <v>2975</v>
      </c>
      <c r="AC179" t="str">
        <f>IF(Merged_Clinical_Finance_Data[[#This Row],[Total_Encounter_Cost_Naira]]&gt;AVERAGE(Merged_Clinical_Finance_Data[[#This Row],[Total_Encounter_Cost_Naira]]),"High","Normal")</f>
        <v>Normal</v>
      </c>
    </row>
    <row r="180" spans="1:29" x14ac:dyDescent="0.25">
      <c r="A180" t="s">
        <v>304</v>
      </c>
      <c r="B180" t="s">
        <v>49</v>
      </c>
      <c r="C180" t="s">
        <v>50</v>
      </c>
      <c r="D180" t="s">
        <v>60</v>
      </c>
      <c r="E180" s="3">
        <v>45711</v>
      </c>
      <c r="F180" s="3">
        <v>45714</v>
      </c>
      <c r="G180">
        <v>3.5</v>
      </c>
      <c r="H180">
        <v>87</v>
      </c>
      <c r="I180" t="s">
        <v>43</v>
      </c>
      <c r="J180" t="s">
        <v>34</v>
      </c>
      <c r="K180" t="s">
        <v>52</v>
      </c>
      <c r="L180" t="s">
        <v>150</v>
      </c>
      <c r="M180" t="s">
        <v>47</v>
      </c>
      <c r="N180" t="s">
        <v>38</v>
      </c>
      <c r="O180">
        <v>29</v>
      </c>
      <c r="P180">
        <v>30</v>
      </c>
      <c r="Q180">
        <v>0.9667</v>
      </c>
      <c r="R180">
        <v>425</v>
      </c>
      <c r="S180" s="1">
        <v>1487.5</v>
      </c>
      <c r="T180" t="s">
        <v>84</v>
      </c>
      <c r="U180" t="s">
        <v>85</v>
      </c>
      <c r="V180" s="1">
        <v>5896.92</v>
      </c>
      <c r="W180" s="2">
        <f>Merged_Clinical_Finance_Data[[#This Row],[Occupied_Beds]]/Merged_Clinical_Finance_Data[[#This Row],[Total_Beds]]</f>
        <v>0.96666666666666667</v>
      </c>
      <c r="X180">
        <f>IF(Merged_Clinical_Finance_Data[[#This Row],[30Day_Readmission]]="Yes",1,0)</f>
        <v>0</v>
      </c>
      <c r="Y180" t="str" cm="1">
        <f t="array" ref="Y18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180" t="str" cm="1">
        <f t="array" ref="Z180">_xlfn.IFS(Merged_Clinical_Finance_Data[[#This Row],[Length_of_Stay_Days]]&lt;3,"Short (&lt;3)",Merged_Clinical_Finance_Data[[#This Row],[Length_of_Stay_Days]]&lt;=7,"Medium (3-7)",TRUE,"Long (&gt;7)")</f>
        <v>Medium (3-7)</v>
      </c>
      <c r="AA180" s="3">
        <f>EOMONTH(Merged_Clinical_Finance_Data[[#This Row],[Admission_Date]],-1)+1</f>
        <v>45689</v>
      </c>
      <c r="AB180" s="1">
        <f>Merged_Clinical_Finance_Data[[#This Row],[Daily_Bed_Cost_GBP]]*Merged_Clinical_Finance_Data[[#This Row],[Length_of_Stay_Days]]</f>
        <v>1487.5</v>
      </c>
      <c r="AC180" t="str">
        <f>IF(Merged_Clinical_Finance_Data[[#This Row],[Total_Encounter_Cost_Naira]]&gt;AVERAGE(Merged_Clinical_Finance_Data[[#This Row],[Total_Encounter_Cost_Naira]]),"High","Normal")</f>
        <v>Normal</v>
      </c>
    </row>
    <row r="181" spans="1:29" x14ac:dyDescent="0.25">
      <c r="A181" t="s">
        <v>305</v>
      </c>
      <c r="B181" t="s">
        <v>114</v>
      </c>
      <c r="C181" t="s">
        <v>115</v>
      </c>
      <c r="D181" t="s">
        <v>32</v>
      </c>
      <c r="E181" s="3">
        <v>45884</v>
      </c>
      <c r="F181" s="3">
        <v>45889</v>
      </c>
      <c r="G181">
        <v>5.4</v>
      </c>
      <c r="H181">
        <v>24</v>
      </c>
      <c r="I181" t="s">
        <v>43</v>
      </c>
      <c r="J181" t="s">
        <v>81</v>
      </c>
      <c r="K181" t="s">
        <v>132</v>
      </c>
      <c r="L181" t="s">
        <v>223</v>
      </c>
      <c r="M181" t="s">
        <v>74</v>
      </c>
      <c r="N181" t="s">
        <v>71</v>
      </c>
      <c r="O181">
        <v>30</v>
      </c>
      <c r="P181">
        <v>30</v>
      </c>
      <c r="Q181">
        <v>1</v>
      </c>
      <c r="R181">
        <v>425</v>
      </c>
      <c r="S181" s="1">
        <v>2295</v>
      </c>
      <c r="T181" t="s">
        <v>39</v>
      </c>
      <c r="U181" t="s">
        <v>40</v>
      </c>
      <c r="V181" s="1">
        <v>1587.82</v>
      </c>
      <c r="W181" s="2">
        <f>Merged_Clinical_Finance_Data[[#This Row],[Occupied_Beds]]/Merged_Clinical_Finance_Data[[#This Row],[Total_Beds]]</f>
        <v>1</v>
      </c>
      <c r="X181">
        <f>IF(Merged_Clinical_Finance_Data[[#This Row],[30Day_Readmission]]="Yes",1,0)</f>
        <v>1</v>
      </c>
      <c r="Y181" t="str" cm="1">
        <f t="array" ref="Y18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81" t="str" cm="1">
        <f t="array" ref="Z181">_xlfn.IFS(Merged_Clinical_Finance_Data[[#This Row],[Length_of_Stay_Days]]&lt;3,"Short (&lt;3)",Merged_Clinical_Finance_Data[[#This Row],[Length_of_Stay_Days]]&lt;=7,"Medium (3-7)",TRUE,"Long (&gt;7)")</f>
        <v>Medium (3-7)</v>
      </c>
      <c r="AA181" s="3">
        <f>EOMONTH(Merged_Clinical_Finance_Data[[#This Row],[Admission_Date]],-1)+1</f>
        <v>45870</v>
      </c>
      <c r="AB181" s="1">
        <f>Merged_Clinical_Finance_Data[[#This Row],[Daily_Bed_Cost_GBP]]*Merged_Clinical_Finance_Data[[#This Row],[Length_of_Stay_Days]]</f>
        <v>2295</v>
      </c>
      <c r="AC181" t="str">
        <f>IF(Merged_Clinical_Finance_Data[[#This Row],[Total_Encounter_Cost_Naira]]&gt;AVERAGE(Merged_Clinical_Finance_Data[[#This Row],[Total_Encounter_Cost_Naira]]),"High","Normal")</f>
        <v>Normal</v>
      </c>
    </row>
    <row r="182" spans="1:29" x14ac:dyDescent="0.25">
      <c r="A182" t="s">
        <v>306</v>
      </c>
      <c r="B182" t="s">
        <v>67</v>
      </c>
      <c r="C182" t="s">
        <v>68</v>
      </c>
      <c r="D182" t="s">
        <v>42</v>
      </c>
      <c r="E182" s="3">
        <v>45662</v>
      </c>
      <c r="F182" s="3">
        <v>45666</v>
      </c>
      <c r="G182">
        <v>4.3</v>
      </c>
      <c r="H182">
        <v>27</v>
      </c>
      <c r="I182" t="s">
        <v>43</v>
      </c>
      <c r="J182" t="s">
        <v>81</v>
      </c>
      <c r="K182" t="s">
        <v>69</v>
      </c>
      <c r="L182" t="s">
        <v>70</v>
      </c>
      <c r="M182" t="s">
        <v>37</v>
      </c>
      <c r="N182" t="s">
        <v>38</v>
      </c>
      <c r="O182">
        <v>22</v>
      </c>
      <c r="P182">
        <v>30</v>
      </c>
      <c r="Q182">
        <v>0.73329999999999995</v>
      </c>
      <c r="R182">
        <v>450</v>
      </c>
      <c r="S182" s="1">
        <v>1935</v>
      </c>
      <c r="T182" t="s">
        <v>39</v>
      </c>
      <c r="U182" t="s">
        <v>40</v>
      </c>
      <c r="V182" s="1">
        <v>2063.42</v>
      </c>
      <c r="W182" s="2">
        <f>Merged_Clinical_Finance_Data[[#This Row],[Occupied_Beds]]/Merged_Clinical_Finance_Data[[#This Row],[Total_Beds]]</f>
        <v>0.73333333333333328</v>
      </c>
      <c r="X182">
        <f>IF(Merged_Clinical_Finance_Data[[#This Row],[30Day_Readmission]]="Yes",1,0)</f>
        <v>0</v>
      </c>
      <c r="Y182" t="str" cm="1">
        <f t="array" ref="Y18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82" t="str" cm="1">
        <f t="array" ref="Z182">_xlfn.IFS(Merged_Clinical_Finance_Data[[#This Row],[Length_of_Stay_Days]]&lt;3,"Short (&lt;3)",Merged_Clinical_Finance_Data[[#This Row],[Length_of_Stay_Days]]&lt;=7,"Medium (3-7)",TRUE,"Long (&gt;7)")</f>
        <v>Medium (3-7)</v>
      </c>
      <c r="AA182" s="3">
        <f>EOMONTH(Merged_Clinical_Finance_Data[[#This Row],[Admission_Date]],-1)+1</f>
        <v>45658</v>
      </c>
      <c r="AB182" s="1">
        <f>Merged_Clinical_Finance_Data[[#This Row],[Daily_Bed_Cost_GBP]]*Merged_Clinical_Finance_Data[[#This Row],[Length_of_Stay_Days]]</f>
        <v>1935</v>
      </c>
      <c r="AC182" t="str">
        <f>IF(Merged_Clinical_Finance_Data[[#This Row],[Total_Encounter_Cost_Naira]]&gt;AVERAGE(Merged_Clinical_Finance_Data[[#This Row],[Total_Encounter_Cost_Naira]]),"High","Normal")</f>
        <v>Normal</v>
      </c>
    </row>
    <row r="183" spans="1:29" x14ac:dyDescent="0.25">
      <c r="A183" t="s">
        <v>307</v>
      </c>
      <c r="B183" t="s">
        <v>79</v>
      </c>
      <c r="C183" t="s">
        <v>80</v>
      </c>
      <c r="D183" t="s">
        <v>42</v>
      </c>
      <c r="E183" s="3">
        <v>45901</v>
      </c>
      <c r="F183" s="3">
        <v>45902</v>
      </c>
      <c r="G183">
        <v>1.5</v>
      </c>
      <c r="H183">
        <v>19</v>
      </c>
      <c r="I183" t="s">
        <v>43</v>
      </c>
      <c r="J183" t="s">
        <v>73</v>
      </c>
      <c r="K183" t="s">
        <v>82</v>
      </c>
      <c r="L183" t="s">
        <v>83</v>
      </c>
      <c r="M183" t="s">
        <v>47</v>
      </c>
      <c r="N183" t="s">
        <v>38</v>
      </c>
      <c r="O183">
        <v>30</v>
      </c>
      <c r="P183">
        <v>30</v>
      </c>
      <c r="Q183">
        <v>1</v>
      </c>
      <c r="R183">
        <v>510</v>
      </c>
      <c r="S183" s="1">
        <v>765</v>
      </c>
      <c r="T183" t="s">
        <v>64</v>
      </c>
      <c r="U183" t="s">
        <v>65</v>
      </c>
      <c r="V183" s="1">
        <v>2237.04</v>
      </c>
      <c r="W183" s="2">
        <f>Merged_Clinical_Finance_Data[[#This Row],[Occupied_Beds]]/Merged_Clinical_Finance_Data[[#This Row],[Total_Beds]]</f>
        <v>1</v>
      </c>
      <c r="X183">
        <f>IF(Merged_Clinical_Finance_Data[[#This Row],[30Day_Readmission]]="Yes",1,0)</f>
        <v>0</v>
      </c>
      <c r="Y183" t="str" cm="1">
        <f t="array" ref="Y18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83" t="str" cm="1">
        <f t="array" ref="Z183">_xlfn.IFS(Merged_Clinical_Finance_Data[[#This Row],[Length_of_Stay_Days]]&lt;3,"Short (&lt;3)",Merged_Clinical_Finance_Data[[#This Row],[Length_of_Stay_Days]]&lt;=7,"Medium (3-7)",TRUE,"Long (&gt;7)")</f>
        <v>Short (&lt;3)</v>
      </c>
      <c r="AA183" s="3">
        <f>EOMONTH(Merged_Clinical_Finance_Data[[#This Row],[Admission_Date]],-1)+1</f>
        <v>45901</v>
      </c>
      <c r="AB183" s="1">
        <f>Merged_Clinical_Finance_Data[[#This Row],[Daily_Bed_Cost_GBP]]*Merged_Clinical_Finance_Data[[#This Row],[Length_of_Stay_Days]]</f>
        <v>765</v>
      </c>
      <c r="AC183" t="str">
        <f>IF(Merged_Clinical_Finance_Data[[#This Row],[Total_Encounter_Cost_Naira]]&gt;AVERAGE(Merged_Clinical_Finance_Data[[#This Row],[Total_Encounter_Cost_Naira]]),"High","Normal")</f>
        <v>Normal</v>
      </c>
    </row>
    <row r="184" spans="1:29" x14ac:dyDescent="0.25">
      <c r="A184" t="s">
        <v>308</v>
      </c>
      <c r="B184" t="s">
        <v>30</v>
      </c>
      <c r="C184" t="s">
        <v>31</v>
      </c>
      <c r="D184" t="s">
        <v>42</v>
      </c>
      <c r="E184" s="3">
        <v>46017</v>
      </c>
      <c r="F184" s="3">
        <v>46023</v>
      </c>
      <c r="G184">
        <v>6.9</v>
      </c>
      <c r="H184">
        <v>54</v>
      </c>
      <c r="I184" t="s">
        <v>43</v>
      </c>
      <c r="J184" t="s">
        <v>61</v>
      </c>
      <c r="K184" t="s">
        <v>45</v>
      </c>
      <c r="L184" t="s">
        <v>134</v>
      </c>
      <c r="M184" t="s">
        <v>74</v>
      </c>
      <c r="N184" t="s">
        <v>38</v>
      </c>
      <c r="O184">
        <v>13</v>
      </c>
      <c r="P184">
        <v>30</v>
      </c>
      <c r="Q184">
        <v>0.43330000000000002</v>
      </c>
      <c r="R184">
        <v>510</v>
      </c>
      <c r="S184" s="1">
        <v>3519</v>
      </c>
      <c r="T184" t="s">
        <v>89</v>
      </c>
      <c r="U184" t="s">
        <v>90</v>
      </c>
      <c r="V184" s="1">
        <v>2789.5</v>
      </c>
      <c r="W184" s="2">
        <f>Merged_Clinical_Finance_Data[[#This Row],[Occupied_Beds]]/Merged_Clinical_Finance_Data[[#This Row],[Total_Beds]]</f>
        <v>0.43333333333333335</v>
      </c>
      <c r="X184">
        <f>IF(Merged_Clinical_Finance_Data[[#This Row],[30Day_Readmission]]="Yes",1,0)</f>
        <v>0</v>
      </c>
      <c r="Y184" t="str" cm="1">
        <f t="array" ref="Y18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84" t="str" cm="1">
        <f t="array" ref="Z184">_xlfn.IFS(Merged_Clinical_Finance_Data[[#This Row],[Length_of_Stay_Days]]&lt;3,"Short (&lt;3)",Merged_Clinical_Finance_Data[[#This Row],[Length_of_Stay_Days]]&lt;=7,"Medium (3-7)",TRUE,"Long (&gt;7)")</f>
        <v>Medium (3-7)</v>
      </c>
      <c r="AA184" s="3">
        <f>EOMONTH(Merged_Clinical_Finance_Data[[#This Row],[Admission_Date]],-1)+1</f>
        <v>45992</v>
      </c>
      <c r="AB184" s="1">
        <f>Merged_Clinical_Finance_Data[[#This Row],[Daily_Bed_Cost_GBP]]*Merged_Clinical_Finance_Data[[#This Row],[Length_of_Stay_Days]]</f>
        <v>3519</v>
      </c>
      <c r="AC184" t="str">
        <f>IF(Merged_Clinical_Finance_Data[[#This Row],[Total_Encounter_Cost_Naira]]&gt;AVERAGE(Merged_Clinical_Finance_Data[[#This Row],[Total_Encounter_Cost_Naira]]),"High","Normal")</f>
        <v>Normal</v>
      </c>
    </row>
    <row r="185" spans="1:29" x14ac:dyDescent="0.25">
      <c r="A185" t="s">
        <v>309</v>
      </c>
      <c r="B185" t="s">
        <v>30</v>
      </c>
      <c r="C185" t="s">
        <v>31</v>
      </c>
      <c r="D185" t="s">
        <v>42</v>
      </c>
      <c r="E185" s="3">
        <v>45753</v>
      </c>
      <c r="F185" s="3">
        <v>45761</v>
      </c>
      <c r="G185">
        <v>8.9</v>
      </c>
      <c r="H185">
        <v>36</v>
      </c>
      <c r="I185" t="s">
        <v>43</v>
      </c>
      <c r="J185" t="s">
        <v>73</v>
      </c>
      <c r="K185" t="s">
        <v>45</v>
      </c>
      <c r="L185" t="s">
        <v>134</v>
      </c>
      <c r="M185" t="s">
        <v>47</v>
      </c>
      <c r="N185" t="s">
        <v>38</v>
      </c>
      <c r="O185">
        <v>29</v>
      </c>
      <c r="P185">
        <v>30</v>
      </c>
      <c r="Q185">
        <v>0.9667</v>
      </c>
      <c r="R185">
        <v>480</v>
      </c>
      <c r="S185" s="1">
        <v>4272</v>
      </c>
      <c r="T185" t="s">
        <v>96</v>
      </c>
      <c r="U185" t="s">
        <v>97</v>
      </c>
      <c r="V185" s="1">
        <v>2491.79</v>
      </c>
      <c r="W185" s="2">
        <f>Merged_Clinical_Finance_Data[[#This Row],[Occupied_Beds]]/Merged_Clinical_Finance_Data[[#This Row],[Total_Beds]]</f>
        <v>0.96666666666666667</v>
      </c>
      <c r="X185">
        <f>IF(Merged_Clinical_Finance_Data[[#This Row],[30Day_Readmission]]="Yes",1,0)</f>
        <v>0</v>
      </c>
      <c r="Y185" t="str" cm="1">
        <f t="array" ref="Y18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85" t="str" cm="1">
        <f t="array" ref="Z185">_xlfn.IFS(Merged_Clinical_Finance_Data[[#This Row],[Length_of_Stay_Days]]&lt;3,"Short (&lt;3)",Merged_Clinical_Finance_Data[[#This Row],[Length_of_Stay_Days]]&lt;=7,"Medium (3-7)",TRUE,"Long (&gt;7)")</f>
        <v>Long (&gt;7)</v>
      </c>
      <c r="AA185" s="3">
        <f>EOMONTH(Merged_Clinical_Finance_Data[[#This Row],[Admission_Date]],-1)+1</f>
        <v>45748</v>
      </c>
      <c r="AB185" s="1">
        <f>Merged_Clinical_Finance_Data[[#This Row],[Daily_Bed_Cost_GBP]]*Merged_Clinical_Finance_Data[[#This Row],[Length_of_Stay_Days]]</f>
        <v>4272</v>
      </c>
      <c r="AC185" t="str">
        <f>IF(Merged_Clinical_Finance_Data[[#This Row],[Total_Encounter_Cost_Naira]]&gt;AVERAGE(Merged_Clinical_Finance_Data[[#This Row],[Total_Encounter_Cost_Naira]]),"High","Normal")</f>
        <v>Normal</v>
      </c>
    </row>
    <row r="186" spans="1:29" x14ac:dyDescent="0.25">
      <c r="A186" t="s">
        <v>310</v>
      </c>
      <c r="B186" t="s">
        <v>49</v>
      </c>
      <c r="C186" t="s">
        <v>50</v>
      </c>
      <c r="D186" t="s">
        <v>42</v>
      </c>
      <c r="E186" s="3">
        <v>45861</v>
      </c>
      <c r="F186" s="3">
        <v>45868</v>
      </c>
      <c r="G186">
        <v>7</v>
      </c>
      <c r="H186">
        <v>47</v>
      </c>
      <c r="I186" t="s">
        <v>33</v>
      </c>
      <c r="J186" t="s">
        <v>81</v>
      </c>
      <c r="K186" t="s">
        <v>143</v>
      </c>
      <c r="L186" t="s">
        <v>179</v>
      </c>
      <c r="M186" t="s">
        <v>37</v>
      </c>
      <c r="N186" t="s">
        <v>38</v>
      </c>
      <c r="O186">
        <v>23</v>
      </c>
      <c r="P186">
        <v>30</v>
      </c>
      <c r="Q186">
        <v>0.76670000000000005</v>
      </c>
      <c r="R186">
        <v>510</v>
      </c>
      <c r="S186" s="1">
        <v>3570</v>
      </c>
      <c r="T186" t="s">
        <v>111</v>
      </c>
      <c r="U186" t="s">
        <v>112</v>
      </c>
      <c r="V186" s="1">
        <v>2239.12</v>
      </c>
      <c r="W186" s="2">
        <f>Merged_Clinical_Finance_Data[[#This Row],[Occupied_Beds]]/Merged_Clinical_Finance_Data[[#This Row],[Total_Beds]]</f>
        <v>0.76666666666666672</v>
      </c>
      <c r="X186">
        <f>IF(Merged_Clinical_Finance_Data[[#This Row],[30Day_Readmission]]="Yes",1,0)</f>
        <v>0</v>
      </c>
      <c r="Y186" t="str" cm="1">
        <f t="array" ref="Y18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86" t="str" cm="1">
        <f t="array" ref="Z186">_xlfn.IFS(Merged_Clinical_Finance_Data[[#This Row],[Length_of_Stay_Days]]&lt;3,"Short (&lt;3)",Merged_Clinical_Finance_Data[[#This Row],[Length_of_Stay_Days]]&lt;=7,"Medium (3-7)",TRUE,"Long (&gt;7)")</f>
        <v>Medium (3-7)</v>
      </c>
      <c r="AA186" s="3">
        <f>EOMONTH(Merged_Clinical_Finance_Data[[#This Row],[Admission_Date]],-1)+1</f>
        <v>45839</v>
      </c>
      <c r="AB186" s="1">
        <f>Merged_Clinical_Finance_Data[[#This Row],[Daily_Bed_Cost_GBP]]*Merged_Clinical_Finance_Data[[#This Row],[Length_of_Stay_Days]]</f>
        <v>3570</v>
      </c>
      <c r="AC186" t="str">
        <f>IF(Merged_Clinical_Finance_Data[[#This Row],[Total_Encounter_Cost_Naira]]&gt;AVERAGE(Merged_Clinical_Finance_Data[[#This Row],[Total_Encounter_Cost_Naira]]),"High","Normal")</f>
        <v>Normal</v>
      </c>
    </row>
    <row r="187" spans="1:29" x14ac:dyDescent="0.25">
      <c r="A187" t="s">
        <v>311</v>
      </c>
      <c r="B187" t="s">
        <v>102</v>
      </c>
      <c r="C187" t="s">
        <v>103</v>
      </c>
      <c r="D187" t="s">
        <v>42</v>
      </c>
      <c r="E187" s="3">
        <v>45760</v>
      </c>
      <c r="F187" s="3">
        <v>45760</v>
      </c>
      <c r="G187">
        <v>0.7</v>
      </c>
      <c r="H187">
        <v>64</v>
      </c>
      <c r="I187" t="s">
        <v>43</v>
      </c>
      <c r="J187" t="s">
        <v>81</v>
      </c>
      <c r="K187" t="s">
        <v>104</v>
      </c>
      <c r="L187" t="s">
        <v>209</v>
      </c>
      <c r="M187" t="s">
        <v>47</v>
      </c>
      <c r="N187" t="s">
        <v>38</v>
      </c>
      <c r="O187">
        <v>16</v>
      </c>
      <c r="P187">
        <v>30</v>
      </c>
      <c r="Q187">
        <v>0.5333</v>
      </c>
      <c r="R187">
        <v>450</v>
      </c>
      <c r="S187" s="1">
        <v>315</v>
      </c>
      <c r="T187" t="s">
        <v>64</v>
      </c>
      <c r="U187" t="s">
        <v>65</v>
      </c>
      <c r="V187" s="1">
        <v>1953.15</v>
      </c>
      <c r="W187" s="2">
        <f>Merged_Clinical_Finance_Data[[#This Row],[Occupied_Beds]]/Merged_Clinical_Finance_Data[[#This Row],[Total_Beds]]</f>
        <v>0.53333333333333333</v>
      </c>
      <c r="X187">
        <f>IF(Merged_Clinical_Finance_Data[[#This Row],[30Day_Readmission]]="Yes",1,0)</f>
        <v>0</v>
      </c>
      <c r="Y187" t="str" cm="1">
        <f t="array" ref="Y18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87" t="str" cm="1">
        <f t="array" ref="Z187">_xlfn.IFS(Merged_Clinical_Finance_Data[[#This Row],[Length_of_Stay_Days]]&lt;3,"Short (&lt;3)",Merged_Clinical_Finance_Data[[#This Row],[Length_of_Stay_Days]]&lt;=7,"Medium (3-7)",TRUE,"Long (&gt;7)")</f>
        <v>Short (&lt;3)</v>
      </c>
      <c r="AA187" s="3">
        <f>EOMONTH(Merged_Clinical_Finance_Data[[#This Row],[Admission_Date]],-1)+1</f>
        <v>45748</v>
      </c>
      <c r="AB187" s="1">
        <f>Merged_Clinical_Finance_Data[[#This Row],[Daily_Bed_Cost_GBP]]*Merged_Clinical_Finance_Data[[#This Row],[Length_of_Stay_Days]]</f>
        <v>315</v>
      </c>
      <c r="AC187" t="str">
        <f>IF(Merged_Clinical_Finance_Data[[#This Row],[Total_Encounter_Cost_Naira]]&gt;AVERAGE(Merged_Clinical_Finance_Data[[#This Row],[Total_Encounter_Cost_Naira]]),"High","Normal")</f>
        <v>Normal</v>
      </c>
    </row>
    <row r="188" spans="1:29" x14ac:dyDescent="0.25">
      <c r="A188" t="s">
        <v>312</v>
      </c>
      <c r="B188" t="s">
        <v>30</v>
      </c>
      <c r="C188" t="s">
        <v>31</v>
      </c>
      <c r="D188" t="s">
        <v>60</v>
      </c>
      <c r="E188" s="3">
        <v>45987</v>
      </c>
      <c r="F188" s="3">
        <v>45990</v>
      </c>
      <c r="G188">
        <v>3.4</v>
      </c>
      <c r="H188">
        <v>30</v>
      </c>
      <c r="I188" t="s">
        <v>33</v>
      </c>
      <c r="J188" t="s">
        <v>73</v>
      </c>
      <c r="K188" t="s">
        <v>35</v>
      </c>
      <c r="L188" t="s">
        <v>46</v>
      </c>
      <c r="M188" t="s">
        <v>47</v>
      </c>
      <c r="N188" t="s">
        <v>38</v>
      </c>
      <c r="O188">
        <v>20</v>
      </c>
      <c r="P188">
        <v>30</v>
      </c>
      <c r="Q188">
        <v>0.66669999999999996</v>
      </c>
      <c r="R188">
        <v>510</v>
      </c>
      <c r="S188" s="1">
        <v>1734</v>
      </c>
      <c r="T188" t="s">
        <v>64</v>
      </c>
      <c r="U188" t="s">
        <v>65</v>
      </c>
      <c r="V188" s="1">
        <v>1112.8900000000001</v>
      </c>
      <c r="W188" s="2">
        <f>Merged_Clinical_Finance_Data[[#This Row],[Occupied_Beds]]/Merged_Clinical_Finance_Data[[#This Row],[Total_Beds]]</f>
        <v>0.66666666666666663</v>
      </c>
      <c r="X188">
        <f>IF(Merged_Clinical_Finance_Data[[#This Row],[30Day_Readmission]]="Yes",1,0)</f>
        <v>0</v>
      </c>
      <c r="Y188" t="str" cm="1">
        <f t="array" ref="Y18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88" t="str" cm="1">
        <f t="array" ref="Z188">_xlfn.IFS(Merged_Clinical_Finance_Data[[#This Row],[Length_of_Stay_Days]]&lt;3,"Short (&lt;3)",Merged_Clinical_Finance_Data[[#This Row],[Length_of_Stay_Days]]&lt;=7,"Medium (3-7)",TRUE,"Long (&gt;7)")</f>
        <v>Medium (3-7)</v>
      </c>
      <c r="AA188" s="3">
        <f>EOMONTH(Merged_Clinical_Finance_Data[[#This Row],[Admission_Date]],-1)+1</f>
        <v>45962</v>
      </c>
      <c r="AB188" s="1">
        <f>Merged_Clinical_Finance_Data[[#This Row],[Daily_Bed_Cost_GBP]]*Merged_Clinical_Finance_Data[[#This Row],[Length_of_Stay_Days]]</f>
        <v>1734</v>
      </c>
      <c r="AC188" t="str">
        <f>IF(Merged_Clinical_Finance_Data[[#This Row],[Total_Encounter_Cost_Naira]]&gt;AVERAGE(Merged_Clinical_Finance_Data[[#This Row],[Total_Encounter_Cost_Naira]]),"High","Normal")</f>
        <v>Normal</v>
      </c>
    </row>
    <row r="189" spans="1:29" x14ac:dyDescent="0.25">
      <c r="A189" t="s">
        <v>313</v>
      </c>
      <c r="B189" t="s">
        <v>107</v>
      </c>
      <c r="C189" t="s">
        <v>108</v>
      </c>
      <c r="D189" t="s">
        <v>42</v>
      </c>
      <c r="E189" s="3">
        <v>45716</v>
      </c>
      <c r="F189" s="3">
        <v>45721</v>
      </c>
      <c r="G189">
        <v>5.9</v>
      </c>
      <c r="H189">
        <v>29</v>
      </c>
      <c r="I189" t="s">
        <v>33</v>
      </c>
      <c r="J189" t="s">
        <v>51</v>
      </c>
      <c r="K189" t="s">
        <v>109</v>
      </c>
      <c r="L189" t="s">
        <v>193</v>
      </c>
      <c r="M189" t="s">
        <v>47</v>
      </c>
      <c r="N189" t="s">
        <v>38</v>
      </c>
      <c r="O189">
        <v>30</v>
      </c>
      <c r="P189">
        <v>30</v>
      </c>
      <c r="Q189">
        <v>1</v>
      </c>
      <c r="R189">
        <v>450</v>
      </c>
      <c r="S189" s="1">
        <v>2655</v>
      </c>
      <c r="T189" t="s">
        <v>96</v>
      </c>
      <c r="U189" t="s">
        <v>97</v>
      </c>
      <c r="V189" s="1">
        <v>2428.7199999999998</v>
      </c>
      <c r="W189" s="2">
        <f>Merged_Clinical_Finance_Data[[#This Row],[Occupied_Beds]]/Merged_Clinical_Finance_Data[[#This Row],[Total_Beds]]</f>
        <v>1</v>
      </c>
      <c r="X189">
        <f>IF(Merged_Clinical_Finance_Data[[#This Row],[30Day_Readmission]]="Yes",1,0)</f>
        <v>0</v>
      </c>
      <c r="Y189" t="str" cm="1">
        <f t="array" ref="Y18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89" t="str" cm="1">
        <f t="array" ref="Z189">_xlfn.IFS(Merged_Clinical_Finance_Data[[#This Row],[Length_of_Stay_Days]]&lt;3,"Short (&lt;3)",Merged_Clinical_Finance_Data[[#This Row],[Length_of_Stay_Days]]&lt;=7,"Medium (3-7)",TRUE,"Long (&gt;7)")</f>
        <v>Medium (3-7)</v>
      </c>
      <c r="AA189" s="3">
        <f>EOMONTH(Merged_Clinical_Finance_Data[[#This Row],[Admission_Date]],-1)+1</f>
        <v>45689</v>
      </c>
      <c r="AB189" s="1">
        <f>Merged_Clinical_Finance_Data[[#This Row],[Daily_Bed_Cost_GBP]]*Merged_Clinical_Finance_Data[[#This Row],[Length_of_Stay_Days]]</f>
        <v>2655</v>
      </c>
      <c r="AC189" t="str">
        <f>IF(Merged_Clinical_Finance_Data[[#This Row],[Total_Encounter_Cost_Naira]]&gt;AVERAGE(Merged_Clinical_Finance_Data[[#This Row],[Total_Encounter_Cost_Naira]]),"High","Normal")</f>
        <v>Normal</v>
      </c>
    </row>
    <row r="190" spans="1:29" x14ac:dyDescent="0.25">
      <c r="A190" t="s">
        <v>314</v>
      </c>
      <c r="B190" t="s">
        <v>107</v>
      </c>
      <c r="C190" t="s">
        <v>108</v>
      </c>
      <c r="D190" t="s">
        <v>32</v>
      </c>
      <c r="E190" s="3">
        <v>45660</v>
      </c>
      <c r="F190" s="3">
        <v>45662</v>
      </c>
      <c r="G190">
        <v>2.4</v>
      </c>
      <c r="H190">
        <v>19</v>
      </c>
      <c r="I190" t="s">
        <v>33</v>
      </c>
      <c r="J190" t="s">
        <v>81</v>
      </c>
      <c r="K190" t="s">
        <v>109</v>
      </c>
      <c r="L190" t="s">
        <v>110</v>
      </c>
      <c r="M190" t="s">
        <v>47</v>
      </c>
      <c r="N190" t="s">
        <v>38</v>
      </c>
      <c r="O190">
        <v>19</v>
      </c>
      <c r="P190">
        <v>30</v>
      </c>
      <c r="Q190">
        <v>0.63329999999999997</v>
      </c>
      <c r="R190">
        <v>400</v>
      </c>
      <c r="S190" s="1">
        <v>960</v>
      </c>
      <c r="T190" t="s">
        <v>39</v>
      </c>
      <c r="U190" t="s">
        <v>40</v>
      </c>
      <c r="V190" s="1">
        <v>1626.62</v>
      </c>
      <c r="W190" s="2">
        <f>Merged_Clinical_Finance_Data[[#This Row],[Occupied_Beds]]/Merged_Clinical_Finance_Data[[#This Row],[Total_Beds]]</f>
        <v>0.6333333333333333</v>
      </c>
      <c r="X190">
        <f>IF(Merged_Clinical_Finance_Data[[#This Row],[30Day_Readmission]]="Yes",1,0)</f>
        <v>0</v>
      </c>
      <c r="Y190" t="str" cm="1">
        <f t="array" ref="Y19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90" t="str" cm="1">
        <f t="array" ref="Z190">_xlfn.IFS(Merged_Clinical_Finance_Data[[#This Row],[Length_of_Stay_Days]]&lt;3,"Short (&lt;3)",Merged_Clinical_Finance_Data[[#This Row],[Length_of_Stay_Days]]&lt;=7,"Medium (3-7)",TRUE,"Long (&gt;7)")</f>
        <v>Short (&lt;3)</v>
      </c>
      <c r="AA190" s="3">
        <f>EOMONTH(Merged_Clinical_Finance_Data[[#This Row],[Admission_Date]],-1)+1</f>
        <v>45658</v>
      </c>
      <c r="AB190" s="1">
        <f>Merged_Clinical_Finance_Data[[#This Row],[Daily_Bed_Cost_GBP]]*Merged_Clinical_Finance_Data[[#This Row],[Length_of_Stay_Days]]</f>
        <v>960</v>
      </c>
      <c r="AC190" t="str">
        <f>IF(Merged_Clinical_Finance_Data[[#This Row],[Total_Encounter_Cost_Naira]]&gt;AVERAGE(Merged_Clinical_Finance_Data[[#This Row],[Total_Encounter_Cost_Naira]]),"High","Normal")</f>
        <v>Normal</v>
      </c>
    </row>
    <row r="191" spans="1:29" x14ac:dyDescent="0.25">
      <c r="A191" t="s">
        <v>315</v>
      </c>
      <c r="B191" t="s">
        <v>107</v>
      </c>
      <c r="C191" t="s">
        <v>108</v>
      </c>
      <c r="D191" t="s">
        <v>60</v>
      </c>
      <c r="E191" s="3">
        <v>45661</v>
      </c>
      <c r="F191" s="3">
        <v>45668</v>
      </c>
      <c r="G191">
        <v>7.4</v>
      </c>
      <c r="H191">
        <v>35</v>
      </c>
      <c r="I191" t="s">
        <v>33</v>
      </c>
      <c r="J191" t="s">
        <v>44</v>
      </c>
      <c r="K191" t="s">
        <v>158</v>
      </c>
      <c r="L191" t="s">
        <v>110</v>
      </c>
      <c r="M191" t="s">
        <v>47</v>
      </c>
      <c r="N191" t="s">
        <v>38</v>
      </c>
      <c r="O191">
        <v>18</v>
      </c>
      <c r="P191">
        <v>30</v>
      </c>
      <c r="Q191">
        <v>0.6</v>
      </c>
      <c r="R191">
        <v>400</v>
      </c>
      <c r="S191" s="1">
        <v>2960</v>
      </c>
      <c r="T191" t="s">
        <v>39</v>
      </c>
      <c r="U191" t="s">
        <v>40</v>
      </c>
      <c r="V191" s="1">
        <v>3035</v>
      </c>
      <c r="W191" s="2">
        <f>Merged_Clinical_Finance_Data[[#This Row],[Occupied_Beds]]/Merged_Clinical_Finance_Data[[#This Row],[Total_Beds]]</f>
        <v>0.6</v>
      </c>
      <c r="X191">
        <f>IF(Merged_Clinical_Finance_Data[[#This Row],[30Day_Readmission]]="Yes",1,0)</f>
        <v>0</v>
      </c>
      <c r="Y191" t="str" cm="1">
        <f t="array" ref="Y19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91" t="str" cm="1">
        <f t="array" ref="Z191">_xlfn.IFS(Merged_Clinical_Finance_Data[[#This Row],[Length_of_Stay_Days]]&lt;3,"Short (&lt;3)",Merged_Clinical_Finance_Data[[#This Row],[Length_of_Stay_Days]]&lt;=7,"Medium (3-7)",TRUE,"Long (&gt;7)")</f>
        <v>Long (&gt;7)</v>
      </c>
      <c r="AA191" s="3">
        <f>EOMONTH(Merged_Clinical_Finance_Data[[#This Row],[Admission_Date]],-1)+1</f>
        <v>45658</v>
      </c>
      <c r="AB191" s="1">
        <f>Merged_Clinical_Finance_Data[[#This Row],[Daily_Bed_Cost_GBP]]*Merged_Clinical_Finance_Data[[#This Row],[Length_of_Stay_Days]]</f>
        <v>2960</v>
      </c>
      <c r="AC191" t="str">
        <f>IF(Merged_Clinical_Finance_Data[[#This Row],[Total_Encounter_Cost_Naira]]&gt;AVERAGE(Merged_Clinical_Finance_Data[[#This Row],[Total_Encounter_Cost_Naira]]),"High","Normal")</f>
        <v>Normal</v>
      </c>
    </row>
    <row r="192" spans="1:29" x14ac:dyDescent="0.25">
      <c r="A192" t="s">
        <v>316</v>
      </c>
      <c r="B192" t="s">
        <v>58</v>
      </c>
      <c r="C192" t="s">
        <v>59</v>
      </c>
      <c r="D192" t="s">
        <v>42</v>
      </c>
      <c r="E192" s="3">
        <v>45690</v>
      </c>
      <c r="F192" s="3">
        <v>45694</v>
      </c>
      <c r="G192">
        <v>4.8</v>
      </c>
      <c r="H192">
        <v>25</v>
      </c>
      <c r="I192" t="s">
        <v>33</v>
      </c>
      <c r="J192" t="s">
        <v>73</v>
      </c>
      <c r="K192" t="s">
        <v>95</v>
      </c>
      <c r="L192" t="s">
        <v>63</v>
      </c>
      <c r="M192" t="s">
        <v>37</v>
      </c>
      <c r="N192" t="s">
        <v>38</v>
      </c>
      <c r="O192">
        <v>30</v>
      </c>
      <c r="P192">
        <v>30</v>
      </c>
      <c r="Q192">
        <v>1</v>
      </c>
      <c r="R192">
        <v>400</v>
      </c>
      <c r="S192" s="1">
        <v>1920</v>
      </c>
      <c r="T192" t="s">
        <v>64</v>
      </c>
      <c r="U192" t="s">
        <v>65</v>
      </c>
      <c r="V192" s="1">
        <v>2045.65</v>
      </c>
      <c r="W192" s="2">
        <f>Merged_Clinical_Finance_Data[[#This Row],[Occupied_Beds]]/Merged_Clinical_Finance_Data[[#This Row],[Total_Beds]]</f>
        <v>1</v>
      </c>
      <c r="X192">
        <f>IF(Merged_Clinical_Finance_Data[[#This Row],[30Day_Readmission]]="Yes",1,0)</f>
        <v>0</v>
      </c>
      <c r="Y192" t="str" cm="1">
        <f t="array" ref="Y19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92" t="str" cm="1">
        <f t="array" ref="Z192">_xlfn.IFS(Merged_Clinical_Finance_Data[[#This Row],[Length_of_Stay_Days]]&lt;3,"Short (&lt;3)",Merged_Clinical_Finance_Data[[#This Row],[Length_of_Stay_Days]]&lt;=7,"Medium (3-7)",TRUE,"Long (&gt;7)")</f>
        <v>Medium (3-7)</v>
      </c>
      <c r="AA192" s="3">
        <f>EOMONTH(Merged_Clinical_Finance_Data[[#This Row],[Admission_Date]],-1)+1</f>
        <v>45689</v>
      </c>
      <c r="AB192" s="1">
        <f>Merged_Clinical_Finance_Data[[#This Row],[Daily_Bed_Cost_GBP]]*Merged_Clinical_Finance_Data[[#This Row],[Length_of_Stay_Days]]</f>
        <v>1920</v>
      </c>
      <c r="AC192" t="str">
        <f>IF(Merged_Clinical_Finance_Data[[#This Row],[Total_Encounter_Cost_Naira]]&gt;AVERAGE(Merged_Clinical_Finance_Data[[#This Row],[Total_Encounter_Cost_Naira]]),"High","Normal")</f>
        <v>Normal</v>
      </c>
    </row>
    <row r="193" spans="1:29" x14ac:dyDescent="0.25">
      <c r="A193" t="s">
        <v>317</v>
      </c>
      <c r="B193" t="s">
        <v>102</v>
      </c>
      <c r="C193" t="s">
        <v>103</v>
      </c>
      <c r="D193" t="s">
        <v>60</v>
      </c>
      <c r="E193" s="3">
        <v>45790</v>
      </c>
      <c r="F193" s="3">
        <v>45791</v>
      </c>
      <c r="G193">
        <v>1.5</v>
      </c>
      <c r="H193">
        <v>40</v>
      </c>
      <c r="I193" t="s">
        <v>43</v>
      </c>
      <c r="J193" t="s">
        <v>61</v>
      </c>
      <c r="K193" t="s">
        <v>104</v>
      </c>
      <c r="L193" t="s">
        <v>164</v>
      </c>
      <c r="M193" t="s">
        <v>47</v>
      </c>
      <c r="N193" t="s">
        <v>38</v>
      </c>
      <c r="O193">
        <v>13</v>
      </c>
      <c r="P193">
        <v>30</v>
      </c>
      <c r="Q193">
        <v>0.43330000000000002</v>
      </c>
      <c r="R193">
        <v>480</v>
      </c>
      <c r="S193" s="1">
        <v>720</v>
      </c>
      <c r="T193" t="s">
        <v>111</v>
      </c>
      <c r="U193" t="s">
        <v>112</v>
      </c>
      <c r="V193" s="1">
        <v>2654.42</v>
      </c>
      <c r="W193" s="2">
        <f>Merged_Clinical_Finance_Data[[#This Row],[Occupied_Beds]]/Merged_Clinical_Finance_Data[[#This Row],[Total_Beds]]</f>
        <v>0.43333333333333335</v>
      </c>
      <c r="X193">
        <f>IF(Merged_Clinical_Finance_Data[[#This Row],[30Day_Readmission]]="Yes",1,0)</f>
        <v>0</v>
      </c>
      <c r="Y193" t="str" cm="1">
        <f t="array" ref="Y19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93" t="str" cm="1">
        <f t="array" ref="Z193">_xlfn.IFS(Merged_Clinical_Finance_Data[[#This Row],[Length_of_Stay_Days]]&lt;3,"Short (&lt;3)",Merged_Clinical_Finance_Data[[#This Row],[Length_of_Stay_Days]]&lt;=7,"Medium (3-7)",TRUE,"Long (&gt;7)")</f>
        <v>Short (&lt;3)</v>
      </c>
      <c r="AA193" s="3">
        <f>EOMONTH(Merged_Clinical_Finance_Data[[#This Row],[Admission_Date]],-1)+1</f>
        <v>45778</v>
      </c>
      <c r="AB193" s="1">
        <f>Merged_Clinical_Finance_Data[[#This Row],[Daily_Bed_Cost_GBP]]*Merged_Clinical_Finance_Data[[#This Row],[Length_of_Stay_Days]]</f>
        <v>720</v>
      </c>
      <c r="AC193" t="str">
        <f>IF(Merged_Clinical_Finance_Data[[#This Row],[Total_Encounter_Cost_Naira]]&gt;AVERAGE(Merged_Clinical_Finance_Data[[#This Row],[Total_Encounter_Cost_Naira]]),"High","Normal")</f>
        <v>Normal</v>
      </c>
    </row>
    <row r="194" spans="1:29" x14ac:dyDescent="0.25">
      <c r="A194" t="s">
        <v>318</v>
      </c>
      <c r="B194" t="s">
        <v>102</v>
      </c>
      <c r="C194" t="s">
        <v>103</v>
      </c>
      <c r="D194" t="s">
        <v>32</v>
      </c>
      <c r="E194" s="3">
        <v>46013</v>
      </c>
      <c r="F194" s="3">
        <v>46014</v>
      </c>
      <c r="G194">
        <v>1.6</v>
      </c>
      <c r="H194">
        <v>18</v>
      </c>
      <c r="I194" t="s">
        <v>33</v>
      </c>
      <c r="J194" t="s">
        <v>51</v>
      </c>
      <c r="K194" t="s">
        <v>104</v>
      </c>
      <c r="L194" t="s">
        <v>164</v>
      </c>
      <c r="M194" t="s">
        <v>74</v>
      </c>
      <c r="N194" t="s">
        <v>38</v>
      </c>
      <c r="O194">
        <v>30</v>
      </c>
      <c r="P194">
        <v>30</v>
      </c>
      <c r="Q194">
        <v>1</v>
      </c>
      <c r="R194">
        <v>425</v>
      </c>
      <c r="S194" s="1">
        <v>680</v>
      </c>
      <c r="T194" t="s">
        <v>89</v>
      </c>
      <c r="U194" t="s">
        <v>90</v>
      </c>
      <c r="V194" s="1">
        <v>8212.3700000000008</v>
      </c>
      <c r="W194" s="2">
        <f>Merged_Clinical_Finance_Data[[#This Row],[Occupied_Beds]]/Merged_Clinical_Finance_Data[[#This Row],[Total_Beds]]</f>
        <v>1</v>
      </c>
      <c r="X194">
        <f>IF(Merged_Clinical_Finance_Data[[#This Row],[30Day_Readmission]]="Yes",1,0)</f>
        <v>0</v>
      </c>
      <c r="Y194" t="str" cm="1">
        <f t="array" ref="Y19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94" t="str" cm="1">
        <f t="array" ref="Z194">_xlfn.IFS(Merged_Clinical_Finance_Data[[#This Row],[Length_of_Stay_Days]]&lt;3,"Short (&lt;3)",Merged_Clinical_Finance_Data[[#This Row],[Length_of_Stay_Days]]&lt;=7,"Medium (3-7)",TRUE,"Long (&gt;7)")</f>
        <v>Short (&lt;3)</v>
      </c>
      <c r="AA194" s="3">
        <f>EOMONTH(Merged_Clinical_Finance_Data[[#This Row],[Admission_Date]],-1)+1</f>
        <v>45992</v>
      </c>
      <c r="AB194" s="1">
        <f>Merged_Clinical_Finance_Data[[#This Row],[Daily_Bed_Cost_GBP]]*Merged_Clinical_Finance_Data[[#This Row],[Length_of_Stay_Days]]</f>
        <v>680</v>
      </c>
      <c r="AC194" t="str">
        <f>IF(Merged_Clinical_Finance_Data[[#This Row],[Total_Encounter_Cost_Naira]]&gt;AVERAGE(Merged_Clinical_Finance_Data[[#This Row],[Total_Encounter_Cost_Naira]]),"High","Normal")</f>
        <v>Normal</v>
      </c>
    </row>
    <row r="195" spans="1:29" x14ac:dyDescent="0.25">
      <c r="A195" t="s">
        <v>319</v>
      </c>
      <c r="B195" t="s">
        <v>49</v>
      </c>
      <c r="C195" t="s">
        <v>50</v>
      </c>
      <c r="D195" t="s">
        <v>42</v>
      </c>
      <c r="E195" s="3">
        <v>45977</v>
      </c>
      <c r="F195" s="3">
        <v>45982</v>
      </c>
      <c r="G195">
        <v>5.2</v>
      </c>
      <c r="H195">
        <v>84</v>
      </c>
      <c r="I195" t="s">
        <v>33</v>
      </c>
      <c r="J195" t="s">
        <v>73</v>
      </c>
      <c r="K195" t="s">
        <v>143</v>
      </c>
      <c r="L195" t="s">
        <v>179</v>
      </c>
      <c r="M195" t="s">
        <v>47</v>
      </c>
      <c r="N195" t="s">
        <v>71</v>
      </c>
      <c r="O195">
        <v>19</v>
      </c>
      <c r="P195">
        <v>30</v>
      </c>
      <c r="Q195">
        <v>0.63329999999999997</v>
      </c>
      <c r="R195">
        <v>425</v>
      </c>
      <c r="S195" s="1">
        <v>2210</v>
      </c>
      <c r="T195" t="s">
        <v>55</v>
      </c>
      <c r="U195" t="s">
        <v>56</v>
      </c>
      <c r="V195" s="1">
        <v>842.05</v>
      </c>
      <c r="W195" s="2">
        <f>Merged_Clinical_Finance_Data[[#This Row],[Occupied_Beds]]/Merged_Clinical_Finance_Data[[#This Row],[Total_Beds]]</f>
        <v>0.6333333333333333</v>
      </c>
      <c r="X195">
        <f>IF(Merged_Clinical_Finance_Data[[#This Row],[30Day_Readmission]]="Yes",1,0)</f>
        <v>1</v>
      </c>
      <c r="Y195" t="str" cm="1">
        <f t="array" ref="Y19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195" t="str" cm="1">
        <f t="array" ref="Z195">_xlfn.IFS(Merged_Clinical_Finance_Data[[#This Row],[Length_of_Stay_Days]]&lt;3,"Short (&lt;3)",Merged_Clinical_Finance_Data[[#This Row],[Length_of_Stay_Days]]&lt;=7,"Medium (3-7)",TRUE,"Long (&gt;7)")</f>
        <v>Medium (3-7)</v>
      </c>
      <c r="AA195" s="3">
        <f>EOMONTH(Merged_Clinical_Finance_Data[[#This Row],[Admission_Date]],-1)+1</f>
        <v>45962</v>
      </c>
      <c r="AB195" s="1">
        <f>Merged_Clinical_Finance_Data[[#This Row],[Daily_Bed_Cost_GBP]]*Merged_Clinical_Finance_Data[[#This Row],[Length_of_Stay_Days]]</f>
        <v>2210</v>
      </c>
      <c r="AC195" t="str">
        <f>IF(Merged_Clinical_Finance_Data[[#This Row],[Total_Encounter_Cost_Naira]]&gt;AVERAGE(Merged_Clinical_Finance_Data[[#This Row],[Total_Encounter_Cost_Naira]]),"High","Normal")</f>
        <v>Normal</v>
      </c>
    </row>
    <row r="196" spans="1:29" x14ac:dyDescent="0.25">
      <c r="A196" t="s">
        <v>320</v>
      </c>
      <c r="B196" t="s">
        <v>114</v>
      </c>
      <c r="C196" t="s">
        <v>115</v>
      </c>
      <c r="D196" t="s">
        <v>60</v>
      </c>
      <c r="E196" s="3">
        <v>45956</v>
      </c>
      <c r="F196" s="3">
        <v>45960</v>
      </c>
      <c r="G196">
        <v>4.9000000000000004</v>
      </c>
      <c r="H196">
        <v>24</v>
      </c>
      <c r="I196" t="s">
        <v>43</v>
      </c>
      <c r="J196" t="s">
        <v>81</v>
      </c>
      <c r="K196" t="s">
        <v>132</v>
      </c>
      <c r="L196" t="s">
        <v>117</v>
      </c>
      <c r="M196" t="s">
        <v>74</v>
      </c>
      <c r="N196" t="s">
        <v>38</v>
      </c>
      <c r="O196">
        <v>24</v>
      </c>
      <c r="P196">
        <v>30</v>
      </c>
      <c r="Q196">
        <v>0.8</v>
      </c>
      <c r="R196">
        <v>375</v>
      </c>
      <c r="S196" s="1">
        <v>1837.5</v>
      </c>
      <c r="T196" t="s">
        <v>89</v>
      </c>
      <c r="U196" t="s">
        <v>90</v>
      </c>
      <c r="V196" s="1">
        <v>7442.98</v>
      </c>
      <c r="W196" s="2">
        <f>Merged_Clinical_Finance_Data[[#This Row],[Occupied_Beds]]/Merged_Clinical_Finance_Data[[#This Row],[Total_Beds]]</f>
        <v>0.8</v>
      </c>
      <c r="X196">
        <f>IF(Merged_Clinical_Finance_Data[[#This Row],[30Day_Readmission]]="Yes",1,0)</f>
        <v>0</v>
      </c>
      <c r="Y196" t="str" cm="1">
        <f t="array" ref="Y19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196" t="str" cm="1">
        <f t="array" ref="Z196">_xlfn.IFS(Merged_Clinical_Finance_Data[[#This Row],[Length_of_Stay_Days]]&lt;3,"Short (&lt;3)",Merged_Clinical_Finance_Data[[#This Row],[Length_of_Stay_Days]]&lt;=7,"Medium (3-7)",TRUE,"Long (&gt;7)")</f>
        <v>Medium (3-7)</v>
      </c>
      <c r="AA196" s="3">
        <f>EOMONTH(Merged_Clinical_Finance_Data[[#This Row],[Admission_Date]],-1)+1</f>
        <v>45931</v>
      </c>
      <c r="AB196" s="1">
        <f>Merged_Clinical_Finance_Data[[#This Row],[Daily_Bed_Cost_GBP]]*Merged_Clinical_Finance_Data[[#This Row],[Length_of_Stay_Days]]</f>
        <v>1837.5000000000002</v>
      </c>
      <c r="AC196" t="str">
        <f>IF(Merged_Clinical_Finance_Data[[#This Row],[Total_Encounter_Cost_Naira]]&gt;AVERAGE(Merged_Clinical_Finance_Data[[#This Row],[Total_Encounter_Cost_Naira]]),"High","Normal")</f>
        <v>Normal</v>
      </c>
    </row>
    <row r="197" spans="1:29" x14ac:dyDescent="0.25">
      <c r="A197" t="s">
        <v>321</v>
      </c>
      <c r="B197" t="s">
        <v>49</v>
      </c>
      <c r="C197" t="s">
        <v>50</v>
      </c>
      <c r="D197" t="s">
        <v>32</v>
      </c>
      <c r="E197" s="3">
        <v>45725</v>
      </c>
      <c r="F197" s="3">
        <v>45731</v>
      </c>
      <c r="G197">
        <v>6.9</v>
      </c>
      <c r="H197">
        <v>59</v>
      </c>
      <c r="I197" t="s">
        <v>33</v>
      </c>
      <c r="J197" t="s">
        <v>73</v>
      </c>
      <c r="K197" t="s">
        <v>52</v>
      </c>
      <c r="L197" t="s">
        <v>179</v>
      </c>
      <c r="M197" t="s">
        <v>47</v>
      </c>
      <c r="N197" t="s">
        <v>38</v>
      </c>
      <c r="O197">
        <v>26</v>
      </c>
      <c r="P197">
        <v>30</v>
      </c>
      <c r="Q197">
        <v>0.86670000000000003</v>
      </c>
      <c r="R197">
        <v>350</v>
      </c>
      <c r="S197" s="1">
        <v>2415</v>
      </c>
      <c r="T197" t="s">
        <v>96</v>
      </c>
      <c r="U197" t="s">
        <v>97</v>
      </c>
      <c r="V197" s="1">
        <v>1901.41</v>
      </c>
      <c r="W197" s="2">
        <f>Merged_Clinical_Finance_Data[[#This Row],[Occupied_Beds]]/Merged_Clinical_Finance_Data[[#This Row],[Total_Beds]]</f>
        <v>0.8666666666666667</v>
      </c>
      <c r="X197">
        <f>IF(Merged_Clinical_Finance_Data[[#This Row],[30Day_Readmission]]="Yes",1,0)</f>
        <v>0</v>
      </c>
      <c r="Y197" t="str" cm="1">
        <f t="array" ref="Y19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197" t="str" cm="1">
        <f t="array" ref="Z197">_xlfn.IFS(Merged_Clinical_Finance_Data[[#This Row],[Length_of_Stay_Days]]&lt;3,"Short (&lt;3)",Merged_Clinical_Finance_Data[[#This Row],[Length_of_Stay_Days]]&lt;=7,"Medium (3-7)",TRUE,"Long (&gt;7)")</f>
        <v>Medium (3-7)</v>
      </c>
      <c r="AA197" s="3">
        <f>EOMONTH(Merged_Clinical_Finance_Data[[#This Row],[Admission_Date]],-1)+1</f>
        <v>45717</v>
      </c>
      <c r="AB197" s="1">
        <f>Merged_Clinical_Finance_Data[[#This Row],[Daily_Bed_Cost_GBP]]*Merged_Clinical_Finance_Data[[#This Row],[Length_of_Stay_Days]]</f>
        <v>2415</v>
      </c>
      <c r="AC197" t="str">
        <f>IF(Merged_Clinical_Finance_Data[[#This Row],[Total_Encounter_Cost_Naira]]&gt;AVERAGE(Merged_Clinical_Finance_Data[[#This Row],[Total_Encounter_Cost_Naira]]),"High","Normal")</f>
        <v>Normal</v>
      </c>
    </row>
    <row r="198" spans="1:29" x14ac:dyDescent="0.25">
      <c r="A198" t="s">
        <v>322</v>
      </c>
      <c r="B198" t="s">
        <v>67</v>
      </c>
      <c r="C198" t="s">
        <v>68</v>
      </c>
      <c r="D198" t="s">
        <v>42</v>
      </c>
      <c r="E198" s="3">
        <v>45782</v>
      </c>
      <c r="F198" s="3">
        <v>45786</v>
      </c>
      <c r="G198">
        <v>4.8</v>
      </c>
      <c r="H198">
        <v>40</v>
      </c>
      <c r="I198" t="s">
        <v>43</v>
      </c>
      <c r="J198" t="s">
        <v>44</v>
      </c>
      <c r="K198" t="s">
        <v>69</v>
      </c>
      <c r="L198" t="s">
        <v>77</v>
      </c>
      <c r="M198" t="s">
        <v>47</v>
      </c>
      <c r="N198" t="s">
        <v>38</v>
      </c>
      <c r="O198">
        <v>18</v>
      </c>
      <c r="P198">
        <v>30</v>
      </c>
      <c r="Q198">
        <v>0.6</v>
      </c>
      <c r="R198">
        <v>350</v>
      </c>
      <c r="S198" s="1">
        <v>1680</v>
      </c>
      <c r="T198" t="s">
        <v>39</v>
      </c>
      <c r="U198" t="s">
        <v>40</v>
      </c>
      <c r="V198" s="1">
        <v>1216.43</v>
      </c>
      <c r="W198" s="2">
        <f>Merged_Clinical_Finance_Data[[#This Row],[Occupied_Beds]]/Merged_Clinical_Finance_Data[[#This Row],[Total_Beds]]</f>
        <v>0.6</v>
      </c>
      <c r="X198">
        <f>IF(Merged_Clinical_Finance_Data[[#This Row],[30Day_Readmission]]="Yes",1,0)</f>
        <v>0</v>
      </c>
      <c r="Y198" t="str" cm="1">
        <f t="array" ref="Y19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198" t="str" cm="1">
        <f t="array" ref="Z198">_xlfn.IFS(Merged_Clinical_Finance_Data[[#This Row],[Length_of_Stay_Days]]&lt;3,"Short (&lt;3)",Merged_Clinical_Finance_Data[[#This Row],[Length_of_Stay_Days]]&lt;=7,"Medium (3-7)",TRUE,"Long (&gt;7)")</f>
        <v>Medium (3-7)</v>
      </c>
      <c r="AA198" s="3">
        <f>EOMONTH(Merged_Clinical_Finance_Data[[#This Row],[Admission_Date]],-1)+1</f>
        <v>45778</v>
      </c>
      <c r="AB198" s="1">
        <f>Merged_Clinical_Finance_Data[[#This Row],[Daily_Bed_Cost_GBP]]*Merged_Clinical_Finance_Data[[#This Row],[Length_of_Stay_Days]]</f>
        <v>1680</v>
      </c>
      <c r="AC198" t="str">
        <f>IF(Merged_Clinical_Finance_Data[[#This Row],[Total_Encounter_Cost_Naira]]&gt;AVERAGE(Merged_Clinical_Finance_Data[[#This Row],[Total_Encounter_Cost_Naira]]),"High","Normal")</f>
        <v>Normal</v>
      </c>
    </row>
    <row r="199" spans="1:29" x14ac:dyDescent="0.25">
      <c r="A199" t="s">
        <v>323</v>
      </c>
      <c r="B199" t="s">
        <v>114</v>
      </c>
      <c r="C199" t="s">
        <v>115</v>
      </c>
      <c r="D199" t="s">
        <v>60</v>
      </c>
      <c r="E199" s="3">
        <v>45983</v>
      </c>
      <c r="F199" s="3">
        <v>45985</v>
      </c>
      <c r="G199">
        <v>2.7</v>
      </c>
      <c r="H199">
        <v>66</v>
      </c>
      <c r="I199" t="s">
        <v>33</v>
      </c>
      <c r="J199" t="s">
        <v>51</v>
      </c>
      <c r="K199" t="s">
        <v>116</v>
      </c>
      <c r="L199" t="s">
        <v>117</v>
      </c>
      <c r="M199" t="s">
        <v>47</v>
      </c>
      <c r="N199" t="s">
        <v>38</v>
      </c>
      <c r="O199">
        <v>14</v>
      </c>
      <c r="P199">
        <v>30</v>
      </c>
      <c r="Q199">
        <v>0.4667</v>
      </c>
      <c r="R199">
        <v>450</v>
      </c>
      <c r="S199" s="1">
        <v>1215</v>
      </c>
      <c r="T199" t="s">
        <v>64</v>
      </c>
      <c r="U199" t="s">
        <v>65</v>
      </c>
      <c r="V199" s="1">
        <v>1118.45</v>
      </c>
      <c r="W199" s="2">
        <f>Merged_Clinical_Finance_Data[[#This Row],[Occupied_Beds]]/Merged_Clinical_Finance_Data[[#This Row],[Total_Beds]]</f>
        <v>0.46666666666666667</v>
      </c>
      <c r="X199">
        <f>IF(Merged_Clinical_Finance_Data[[#This Row],[30Day_Readmission]]="Yes",1,0)</f>
        <v>0</v>
      </c>
      <c r="Y199" t="str" cm="1">
        <f t="array" ref="Y19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199" t="str" cm="1">
        <f t="array" ref="Z199">_xlfn.IFS(Merged_Clinical_Finance_Data[[#This Row],[Length_of_Stay_Days]]&lt;3,"Short (&lt;3)",Merged_Clinical_Finance_Data[[#This Row],[Length_of_Stay_Days]]&lt;=7,"Medium (3-7)",TRUE,"Long (&gt;7)")</f>
        <v>Short (&lt;3)</v>
      </c>
      <c r="AA199" s="3">
        <f>EOMONTH(Merged_Clinical_Finance_Data[[#This Row],[Admission_Date]],-1)+1</f>
        <v>45962</v>
      </c>
      <c r="AB199" s="1">
        <f>Merged_Clinical_Finance_Data[[#This Row],[Daily_Bed_Cost_GBP]]*Merged_Clinical_Finance_Data[[#This Row],[Length_of_Stay_Days]]</f>
        <v>1215</v>
      </c>
      <c r="AC199" t="str">
        <f>IF(Merged_Clinical_Finance_Data[[#This Row],[Total_Encounter_Cost_Naira]]&gt;AVERAGE(Merged_Clinical_Finance_Data[[#This Row],[Total_Encounter_Cost_Naira]]),"High","Normal")</f>
        <v>Normal</v>
      </c>
    </row>
    <row r="200" spans="1:29" x14ac:dyDescent="0.25">
      <c r="A200" t="s">
        <v>324</v>
      </c>
      <c r="B200" t="s">
        <v>114</v>
      </c>
      <c r="C200" t="s">
        <v>115</v>
      </c>
      <c r="D200" t="s">
        <v>32</v>
      </c>
      <c r="E200" s="3">
        <v>45705</v>
      </c>
      <c r="F200" s="3">
        <v>45713</v>
      </c>
      <c r="G200">
        <v>8.5</v>
      </c>
      <c r="H200">
        <v>82</v>
      </c>
      <c r="I200" t="s">
        <v>33</v>
      </c>
      <c r="J200" t="s">
        <v>34</v>
      </c>
      <c r="K200" t="s">
        <v>132</v>
      </c>
      <c r="L200" t="s">
        <v>117</v>
      </c>
      <c r="M200" t="s">
        <v>74</v>
      </c>
      <c r="N200" t="s">
        <v>38</v>
      </c>
      <c r="O200">
        <v>21</v>
      </c>
      <c r="P200">
        <v>30</v>
      </c>
      <c r="Q200">
        <v>0.7</v>
      </c>
      <c r="R200">
        <v>480</v>
      </c>
      <c r="S200" s="1">
        <v>4080</v>
      </c>
      <c r="T200" t="s">
        <v>96</v>
      </c>
      <c r="U200" t="s">
        <v>97</v>
      </c>
      <c r="V200" s="1">
        <v>2378.8200000000002</v>
      </c>
      <c r="W200" s="2">
        <f>Merged_Clinical_Finance_Data[[#This Row],[Occupied_Beds]]/Merged_Clinical_Finance_Data[[#This Row],[Total_Beds]]</f>
        <v>0.7</v>
      </c>
      <c r="X200">
        <f>IF(Merged_Clinical_Finance_Data[[#This Row],[30Day_Readmission]]="Yes",1,0)</f>
        <v>0</v>
      </c>
      <c r="Y200" t="str" cm="1">
        <f t="array" ref="Y20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200" t="str" cm="1">
        <f t="array" ref="Z200">_xlfn.IFS(Merged_Clinical_Finance_Data[[#This Row],[Length_of_Stay_Days]]&lt;3,"Short (&lt;3)",Merged_Clinical_Finance_Data[[#This Row],[Length_of_Stay_Days]]&lt;=7,"Medium (3-7)",TRUE,"Long (&gt;7)")</f>
        <v>Long (&gt;7)</v>
      </c>
      <c r="AA200" s="3">
        <f>EOMONTH(Merged_Clinical_Finance_Data[[#This Row],[Admission_Date]],-1)+1</f>
        <v>45689</v>
      </c>
      <c r="AB200" s="1">
        <f>Merged_Clinical_Finance_Data[[#This Row],[Daily_Bed_Cost_GBP]]*Merged_Clinical_Finance_Data[[#This Row],[Length_of_Stay_Days]]</f>
        <v>4080</v>
      </c>
      <c r="AC200" t="str">
        <f>IF(Merged_Clinical_Finance_Data[[#This Row],[Total_Encounter_Cost_Naira]]&gt;AVERAGE(Merged_Clinical_Finance_Data[[#This Row],[Total_Encounter_Cost_Naira]]),"High","Normal")</f>
        <v>Normal</v>
      </c>
    </row>
    <row r="201" spans="1:29" x14ac:dyDescent="0.25">
      <c r="A201" t="s">
        <v>325</v>
      </c>
      <c r="B201" t="s">
        <v>114</v>
      </c>
      <c r="C201" t="s">
        <v>115</v>
      </c>
      <c r="D201" t="s">
        <v>60</v>
      </c>
      <c r="E201" s="3">
        <v>45863</v>
      </c>
      <c r="F201" s="3">
        <v>45865</v>
      </c>
      <c r="G201">
        <v>2.2000000000000002</v>
      </c>
      <c r="H201">
        <v>45</v>
      </c>
      <c r="I201" t="s">
        <v>43</v>
      </c>
      <c r="J201" t="s">
        <v>81</v>
      </c>
      <c r="K201" t="s">
        <v>132</v>
      </c>
      <c r="L201" t="s">
        <v>223</v>
      </c>
      <c r="M201" t="s">
        <v>47</v>
      </c>
      <c r="N201" t="s">
        <v>38</v>
      </c>
      <c r="O201">
        <v>29</v>
      </c>
      <c r="P201">
        <v>30</v>
      </c>
      <c r="Q201">
        <v>0.9667</v>
      </c>
      <c r="R201">
        <v>350</v>
      </c>
      <c r="S201" s="1">
        <v>770</v>
      </c>
      <c r="T201" t="s">
        <v>96</v>
      </c>
      <c r="U201" t="s">
        <v>97</v>
      </c>
      <c r="V201" s="1">
        <v>1868.68</v>
      </c>
      <c r="W201" s="2">
        <f>Merged_Clinical_Finance_Data[[#This Row],[Occupied_Beds]]/Merged_Clinical_Finance_Data[[#This Row],[Total_Beds]]</f>
        <v>0.96666666666666667</v>
      </c>
      <c r="X201">
        <f>IF(Merged_Clinical_Finance_Data[[#This Row],[30Day_Readmission]]="Yes",1,0)</f>
        <v>0</v>
      </c>
      <c r="Y201" t="str" cm="1">
        <f t="array" ref="Y20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01" t="str" cm="1">
        <f t="array" ref="Z201">_xlfn.IFS(Merged_Clinical_Finance_Data[[#This Row],[Length_of_Stay_Days]]&lt;3,"Short (&lt;3)",Merged_Clinical_Finance_Data[[#This Row],[Length_of_Stay_Days]]&lt;=7,"Medium (3-7)",TRUE,"Long (&gt;7)")</f>
        <v>Short (&lt;3)</v>
      </c>
      <c r="AA201" s="3">
        <f>EOMONTH(Merged_Clinical_Finance_Data[[#This Row],[Admission_Date]],-1)+1</f>
        <v>45839</v>
      </c>
      <c r="AB201" s="1">
        <f>Merged_Clinical_Finance_Data[[#This Row],[Daily_Bed_Cost_GBP]]*Merged_Clinical_Finance_Data[[#This Row],[Length_of_Stay_Days]]</f>
        <v>770.00000000000011</v>
      </c>
      <c r="AC201" t="str">
        <f>IF(Merged_Clinical_Finance_Data[[#This Row],[Total_Encounter_Cost_Naira]]&gt;AVERAGE(Merged_Clinical_Finance_Data[[#This Row],[Total_Encounter_Cost_Naira]]),"High","Normal")</f>
        <v>Normal</v>
      </c>
    </row>
    <row r="202" spans="1:29" x14ac:dyDescent="0.25">
      <c r="A202" t="s">
        <v>326</v>
      </c>
      <c r="B202" t="s">
        <v>30</v>
      </c>
      <c r="C202" t="s">
        <v>31</v>
      </c>
      <c r="D202" t="s">
        <v>60</v>
      </c>
      <c r="E202" s="3">
        <v>45689</v>
      </c>
      <c r="F202" s="3">
        <v>45694</v>
      </c>
      <c r="G202">
        <v>5.8</v>
      </c>
      <c r="H202">
        <v>38</v>
      </c>
      <c r="I202" t="s">
        <v>33</v>
      </c>
      <c r="J202" t="s">
        <v>81</v>
      </c>
      <c r="K202" t="s">
        <v>35</v>
      </c>
      <c r="L202" t="s">
        <v>46</v>
      </c>
      <c r="M202" t="s">
        <v>74</v>
      </c>
      <c r="N202" t="s">
        <v>38</v>
      </c>
      <c r="O202">
        <v>27</v>
      </c>
      <c r="P202">
        <v>30</v>
      </c>
      <c r="Q202">
        <v>0.9</v>
      </c>
      <c r="R202">
        <v>480</v>
      </c>
      <c r="S202" s="1">
        <v>2784</v>
      </c>
      <c r="T202" t="s">
        <v>64</v>
      </c>
      <c r="U202" t="s">
        <v>65</v>
      </c>
      <c r="V202" s="1">
        <v>1467.32</v>
      </c>
      <c r="W202" s="2">
        <f>Merged_Clinical_Finance_Data[[#This Row],[Occupied_Beds]]/Merged_Clinical_Finance_Data[[#This Row],[Total_Beds]]</f>
        <v>0.9</v>
      </c>
      <c r="X202">
        <f>IF(Merged_Clinical_Finance_Data[[#This Row],[30Day_Readmission]]="Yes",1,0)</f>
        <v>0</v>
      </c>
      <c r="Y202" t="str" cm="1">
        <f t="array" ref="Y20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02" t="str" cm="1">
        <f t="array" ref="Z202">_xlfn.IFS(Merged_Clinical_Finance_Data[[#This Row],[Length_of_Stay_Days]]&lt;3,"Short (&lt;3)",Merged_Clinical_Finance_Data[[#This Row],[Length_of_Stay_Days]]&lt;=7,"Medium (3-7)",TRUE,"Long (&gt;7)")</f>
        <v>Medium (3-7)</v>
      </c>
      <c r="AA202" s="3">
        <f>EOMONTH(Merged_Clinical_Finance_Data[[#This Row],[Admission_Date]],-1)+1</f>
        <v>45689</v>
      </c>
      <c r="AB202" s="1">
        <f>Merged_Clinical_Finance_Data[[#This Row],[Daily_Bed_Cost_GBP]]*Merged_Clinical_Finance_Data[[#This Row],[Length_of_Stay_Days]]</f>
        <v>2784</v>
      </c>
      <c r="AC202" t="str">
        <f>IF(Merged_Clinical_Finance_Data[[#This Row],[Total_Encounter_Cost_Naira]]&gt;AVERAGE(Merged_Clinical_Finance_Data[[#This Row],[Total_Encounter_Cost_Naira]]),"High","Normal")</f>
        <v>Normal</v>
      </c>
    </row>
    <row r="203" spans="1:29" x14ac:dyDescent="0.25">
      <c r="A203" t="s">
        <v>327</v>
      </c>
      <c r="B203" t="s">
        <v>30</v>
      </c>
      <c r="C203" t="s">
        <v>31</v>
      </c>
      <c r="D203" t="s">
        <v>60</v>
      </c>
      <c r="E203" s="3">
        <v>45667</v>
      </c>
      <c r="F203" s="3">
        <v>45675</v>
      </c>
      <c r="G203">
        <v>8.4</v>
      </c>
      <c r="H203">
        <v>45</v>
      </c>
      <c r="I203" t="s">
        <v>43</v>
      </c>
      <c r="J203" t="s">
        <v>73</v>
      </c>
      <c r="K203" t="s">
        <v>45</v>
      </c>
      <c r="L203" t="s">
        <v>46</v>
      </c>
      <c r="M203" t="s">
        <v>47</v>
      </c>
      <c r="N203" t="s">
        <v>38</v>
      </c>
      <c r="O203">
        <v>15</v>
      </c>
      <c r="P203">
        <v>30</v>
      </c>
      <c r="Q203">
        <v>0.5</v>
      </c>
      <c r="R203">
        <v>375</v>
      </c>
      <c r="S203" s="1">
        <v>3150</v>
      </c>
      <c r="T203" t="s">
        <v>84</v>
      </c>
      <c r="U203" t="s">
        <v>85</v>
      </c>
      <c r="V203" s="1">
        <v>6538.51</v>
      </c>
      <c r="W203" s="2">
        <f>Merged_Clinical_Finance_Data[[#This Row],[Occupied_Beds]]/Merged_Clinical_Finance_Data[[#This Row],[Total_Beds]]</f>
        <v>0.5</v>
      </c>
      <c r="X203">
        <f>IF(Merged_Clinical_Finance_Data[[#This Row],[30Day_Readmission]]="Yes",1,0)</f>
        <v>0</v>
      </c>
      <c r="Y203" t="str" cm="1">
        <f t="array" ref="Y20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03" t="str" cm="1">
        <f t="array" ref="Z203">_xlfn.IFS(Merged_Clinical_Finance_Data[[#This Row],[Length_of_Stay_Days]]&lt;3,"Short (&lt;3)",Merged_Clinical_Finance_Data[[#This Row],[Length_of_Stay_Days]]&lt;=7,"Medium (3-7)",TRUE,"Long (&gt;7)")</f>
        <v>Long (&gt;7)</v>
      </c>
      <c r="AA203" s="3">
        <f>EOMONTH(Merged_Clinical_Finance_Data[[#This Row],[Admission_Date]],-1)+1</f>
        <v>45658</v>
      </c>
      <c r="AB203" s="1">
        <f>Merged_Clinical_Finance_Data[[#This Row],[Daily_Bed_Cost_GBP]]*Merged_Clinical_Finance_Data[[#This Row],[Length_of_Stay_Days]]</f>
        <v>3150</v>
      </c>
      <c r="AC203" t="str">
        <f>IF(Merged_Clinical_Finance_Data[[#This Row],[Total_Encounter_Cost_Naira]]&gt;AVERAGE(Merged_Clinical_Finance_Data[[#This Row],[Total_Encounter_Cost_Naira]]),"High","Normal")</f>
        <v>Normal</v>
      </c>
    </row>
    <row r="204" spans="1:29" x14ac:dyDescent="0.25">
      <c r="A204" t="s">
        <v>328</v>
      </c>
      <c r="B204" t="s">
        <v>107</v>
      </c>
      <c r="C204" t="s">
        <v>108</v>
      </c>
      <c r="D204" t="s">
        <v>42</v>
      </c>
      <c r="E204" s="3">
        <v>45761</v>
      </c>
      <c r="F204" s="3">
        <v>45768</v>
      </c>
      <c r="G204">
        <v>7.5</v>
      </c>
      <c r="H204">
        <v>72</v>
      </c>
      <c r="I204" t="s">
        <v>43</v>
      </c>
      <c r="J204" t="s">
        <v>44</v>
      </c>
      <c r="K204" t="s">
        <v>109</v>
      </c>
      <c r="L204" t="s">
        <v>129</v>
      </c>
      <c r="M204" t="s">
        <v>74</v>
      </c>
      <c r="N204" t="s">
        <v>38</v>
      </c>
      <c r="O204">
        <v>28</v>
      </c>
      <c r="P204">
        <v>30</v>
      </c>
      <c r="Q204">
        <v>0.93330000000000002</v>
      </c>
      <c r="R204">
        <v>450</v>
      </c>
      <c r="S204" s="1">
        <v>3375</v>
      </c>
      <c r="T204" t="s">
        <v>55</v>
      </c>
      <c r="U204" t="s">
        <v>56</v>
      </c>
      <c r="V204" s="1">
        <v>883.22</v>
      </c>
      <c r="W204" s="2">
        <f>Merged_Clinical_Finance_Data[[#This Row],[Occupied_Beds]]/Merged_Clinical_Finance_Data[[#This Row],[Total_Beds]]</f>
        <v>0.93333333333333335</v>
      </c>
      <c r="X204">
        <f>IF(Merged_Clinical_Finance_Data[[#This Row],[30Day_Readmission]]="Yes",1,0)</f>
        <v>0</v>
      </c>
      <c r="Y204" t="str" cm="1">
        <f t="array" ref="Y20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204" t="str" cm="1">
        <f t="array" ref="Z204">_xlfn.IFS(Merged_Clinical_Finance_Data[[#This Row],[Length_of_Stay_Days]]&lt;3,"Short (&lt;3)",Merged_Clinical_Finance_Data[[#This Row],[Length_of_Stay_Days]]&lt;=7,"Medium (3-7)",TRUE,"Long (&gt;7)")</f>
        <v>Long (&gt;7)</v>
      </c>
      <c r="AA204" s="3">
        <f>EOMONTH(Merged_Clinical_Finance_Data[[#This Row],[Admission_Date]],-1)+1</f>
        <v>45748</v>
      </c>
      <c r="AB204" s="1">
        <f>Merged_Clinical_Finance_Data[[#This Row],[Daily_Bed_Cost_GBP]]*Merged_Clinical_Finance_Data[[#This Row],[Length_of_Stay_Days]]</f>
        <v>3375</v>
      </c>
      <c r="AC204" t="str">
        <f>IF(Merged_Clinical_Finance_Data[[#This Row],[Total_Encounter_Cost_Naira]]&gt;AVERAGE(Merged_Clinical_Finance_Data[[#This Row],[Total_Encounter_Cost_Naira]]),"High","Normal")</f>
        <v>Normal</v>
      </c>
    </row>
    <row r="205" spans="1:29" x14ac:dyDescent="0.25">
      <c r="A205" t="s">
        <v>329</v>
      </c>
      <c r="B205" t="s">
        <v>79</v>
      </c>
      <c r="C205" t="s">
        <v>80</v>
      </c>
      <c r="D205" t="s">
        <v>32</v>
      </c>
      <c r="E205" s="3">
        <v>45903</v>
      </c>
      <c r="F205" s="3">
        <v>45907</v>
      </c>
      <c r="G205">
        <v>4.5999999999999996</v>
      </c>
      <c r="H205">
        <v>85</v>
      </c>
      <c r="I205" t="s">
        <v>33</v>
      </c>
      <c r="J205" t="s">
        <v>81</v>
      </c>
      <c r="K205" t="s">
        <v>87</v>
      </c>
      <c r="L205" t="s">
        <v>145</v>
      </c>
      <c r="M205" t="s">
        <v>54</v>
      </c>
      <c r="N205" t="s">
        <v>38</v>
      </c>
      <c r="O205">
        <v>15</v>
      </c>
      <c r="P205">
        <v>30</v>
      </c>
      <c r="Q205">
        <v>0.5</v>
      </c>
      <c r="R205">
        <v>425</v>
      </c>
      <c r="S205" s="1">
        <v>1955</v>
      </c>
      <c r="T205" t="s">
        <v>96</v>
      </c>
      <c r="U205" t="s">
        <v>97</v>
      </c>
      <c r="V205" s="1">
        <v>3305.55</v>
      </c>
      <c r="W205" s="2">
        <f>Merged_Clinical_Finance_Data[[#This Row],[Occupied_Beds]]/Merged_Clinical_Finance_Data[[#This Row],[Total_Beds]]</f>
        <v>0.5</v>
      </c>
      <c r="X205">
        <f>IF(Merged_Clinical_Finance_Data[[#This Row],[30Day_Readmission]]="Yes",1,0)</f>
        <v>0</v>
      </c>
      <c r="Y205" t="str" cm="1">
        <f t="array" ref="Y20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205" t="str" cm="1">
        <f t="array" ref="Z205">_xlfn.IFS(Merged_Clinical_Finance_Data[[#This Row],[Length_of_Stay_Days]]&lt;3,"Short (&lt;3)",Merged_Clinical_Finance_Data[[#This Row],[Length_of_Stay_Days]]&lt;=7,"Medium (3-7)",TRUE,"Long (&gt;7)")</f>
        <v>Medium (3-7)</v>
      </c>
      <c r="AA205" s="3">
        <f>EOMONTH(Merged_Clinical_Finance_Data[[#This Row],[Admission_Date]],-1)+1</f>
        <v>45901</v>
      </c>
      <c r="AB205" s="1">
        <f>Merged_Clinical_Finance_Data[[#This Row],[Daily_Bed_Cost_GBP]]*Merged_Clinical_Finance_Data[[#This Row],[Length_of_Stay_Days]]</f>
        <v>1954.9999999999998</v>
      </c>
      <c r="AC205" t="str">
        <f>IF(Merged_Clinical_Finance_Data[[#This Row],[Total_Encounter_Cost_Naira]]&gt;AVERAGE(Merged_Clinical_Finance_Data[[#This Row],[Total_Encounter_Cost_Naira]]),"High","Normal")</f>
        <v>Normal</v>
      </c>
    </row>
    <row r="206" spans="1:29" x14ac:dyDescent="0.25">
      <c r="A206" t="s">
        <v>330</v>
      </c>
      <c r="B206" t="s">
        <v>107</v>
      </c>
      <c r="C206" t="s">
        <v>108</v>
      </c>
      <c r="D206" t="s">
        <v>60</v>
      </c>
      <c r="E206" s="3">
        <v>45680</v>
      </c>
      <c r="F206" s="3">
        <v>45686</v>
      </c>
      <c r="G206">
        <v>6.3</v>
      </c>
      <c r="H206">
        <v>47</v>
      </c>
      <c r="I206" t="s">
        <v>33</v>
      </c>
      <c r="J206" t="s">
        <v>34</v>
      </c>
      <c r="K206" t="s">
        <v>109</v>
      </c>
      <c r="L206" t="s">
        <v>193</v>
      </c>
      <c r="M206" t="s">
        <v>47</v>
      </c>
      <c r="N206" t="s">
        <v>38</v>
      </c>
      <c r="O206">
        <v>17</v>
      </c>
      <c r="P206">
        <v>30</v>
      </c>
      <c r="Q206">
        <v>0.56669999999999998</v>
      </c>
      <c r="R206">
        <v>375</v>
      </c>
      <c r="S206" s="1">
        <v>2362.5</v>
      </c>
      <c r="T206" t="s">
        <v>136</v>
      </c>
      <c r="U206" t="s">
        <v>137</v>
      </c>
      <c r="V206" s="1">
        <v>2125.35</v>
      </c>
      <c r="W206" s="2">
        <f>Merged_Clinical_Finance_Data[[#This Row],[Occupied_Beds]]/Merged_Clinical_Finance_Data[[#This Row],[Total_Beds]]</f>
        <v>0.56666666666666665</v>
      </c>
      <c r="X206">
        <f>IF(Merged_Clinical_Finance_Data[[#This Row],[30Day_Readmission]]="Yes",1,0)</f>
        <v>0</v>
      </c>
      <c r="Y206" t="str" cm="1">
        <f t="array" ref="Y20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06" t="str" cm="1">
        <f t="array" ref="Z206">_xlfn.IFS(Merged_Clinical_Finance_Data[[#This Row],[Length_of_Stay_Days]]&lt;3,"Short (&lt;3)",Merged_Clinical_Finance_Data[[#This Row],[Length_of_Stay_Days]]&lt;=7,"Medium (3-7)",TRUE,"Long (&gt;7)")</f>
        <v>Medium (3-7)</v>
      </c>
      <c r="AA206" s="3">
        <f>EOMONTH(Merged_Clinical_Finance_Data[[#This Row],[Admission_Date]],-1)+1</f>
        <v>45658</v>
      </c>
      <c r="AB206" s="1">
        <f>Merged_Clinical_Finance_Data[[#This Row],[Daily_Bed_Cost_GBP]]*Merged_Clinical_Finance_Data[[#This Row],[Length_of_Stay_Days]]</f>
        <v>2362.5</v>
      </c>
      <c r="AC206" t="str">
        <f>IF(Merged_Clinical_Finance_Data[[#This Row],[Total_Encounter_Cost_Naira]]&gt;AVERAGE(Merged_Clinical_Finance_Data[[#This Row],[Total_Encounter_Cost_Naira]]),"High","Normal")</f>
        <v>Normal</v>
      </c>
    </row>
    <row r="207" spans="1:29" x14ac:dyDescent="0.25">
      <c r="A207" t="s">
        <v>331</v>
      </c>
      <c r="B207" t="s">
        <v>67</v>
      </c>
      <c r="C207" t="s">
        <v>68</v>
      </c>
      <c r="D207" t="s">
        <v>42</v>
      </c>
      <c r="E207" s="3">
        <v>45768</v>
      </c>
      <c r="F207" s="3">
        <v>45774</v>
      </c>
      <c r="G207">
        <v>6.1</v>
      </c>
      <c r="H207">
        <v>86</v>
      </c>
      <c r="I207" t="s">
        <v>43</v>
      </c>
      <c r="J207" t="s">
        <v>81</v>
      </c>
      <c r="K207" t="s">
        <v>69</v>
      </c>
      <c r="L207" t="s">
        <v>167</v>
      </c>
      <c r="M207" t="s">
        <v>47</v>
      </c>
      <c r="N207" t="s">
        <v>38</v>
      </c>
      <c r="O207">
        <v>28</v>
      </c>
      <c r="P207">
        <v>30</v>
      </c>
      <c r="Q207">
        <v>0.93330000000000002</v>
      </c>
      <c r="R207">
        <v>425</v>
      </c>
      <c r="S207" s="1">
        <v>2592.5</v>
      </c>
      <c r="T207" t="s">
        <v>84</v>
      </c>
      <c r="U207" t="s">
        <v>85</v>
      </c>
      <c r="V207" s="1">
        <v>6896.67</v>
      </c>
      <c r="W207" s="2">
        <f>Merged_Clinical_Finance_Data[[#This Row],[Occupied_Beds]]/Merged_Clinical_Finance_Data[[#This Row],[Total_Beds]]</f>
        <v>0.93333333333333335</v>
      </c>
      <c r="X207">
        <f>IF(Merged_Clinical_Finance_Data[[#This Row],[30Day_Readmission]]="Yes",1,0)</f>
        <v>0</v>
      </c>
      <c r="Y207" t="str" cm="1">
        <f t="array" ref="Y20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207" t="str" cm="1">
        <f t="array" ref="Z207">_xlfn.IFS(Merged_Clinical_Finance_Data[[#This Row],[Length_of_Stay_Days]]&lt;3,"Short (&lt;3)",Merged_Clinical_Finance_Data[[#This Row],[Length_of_Stay_Days]]&lt;=7,"Medium (3-7)",TRUE,"Long (&gt;7)")</f>
        <v>Medium (3-7)</v>
      </c>
      <c r="AA207" s="3">
        <f>EOMONTH(Merged_Clinical_Finance_Data[[#This Row],[Admission_Date]],-1)+1</f>
        <v>45748</v>
      </c>
      <c r="AB207" s="1">
        <f>Merged_Clinical_Finance_Data[[#This Row],[Daily_Bed_Cost_GBP]]*Merged_Clinical_Finance_Data[[#This Row],[Length_of_Stay_Days]]</f>
        <v>2592.5</v>
      </c>
      <c r="AC207" t="str">
        <f>IF(Merged_Clinical_Finance_Data[[#This Row],[Total_Encounter_Cost_Naira]]&gt;AVERAGE(Merged_Clinical_Finance_Data[[#This Row],[Total_Encounter_Cost_Naira]]),"High","Normal")</f>
        <v>Normal</v>
      </c>
    </row>
    <row r="208" spans="1:29" x14ac:dyDescent="0.25">
      <c r="A208" t="s">
        <v>332</v>
      </c>
      <c r="B208" t="s">
        <v>79</v>
      </c>
      <c r="C208" t="s">
        <v>80</v>
      </c>
      <c r="D208" t="s">
        <v>42</v>
      </c>
      <c r="E208" s="3">
        <v>45668</v>
      </c>
      <c r="F208" s="3">
        <v>45673</v>
      </c>
      <c r="G208">
        <v>5</v>
      </c>
      <c r="H208">
        <v>69</v>
      </c>
      <c r="I208" t="s">
        <v>33</v>
      </c>
      <c r="J208" t="s">
        <v>81</v>
      </c>
      <c r="K208" t="s">
        <v>87</v>
      </c>
      <c r="L208" t="s">
        <v>145</v>
      </c>
      <c r="M208" t="s">
        <v>47</v>
      </c>
      <c r="N208" t="s">
        <v>38</v>
      </c>
      <c r="O208">
        <v>24</v>
      </c>
      <c r="P208">
        <v>30</v>
      </c>
      <c r="Q208">
        <v>0.8</v>
      </c>
      <c r="R208">
        <v>510</v>
      </c>
      <c r="S208" s="1">
        <v>2550</v>
      </c>
      <c r="T208" t="s">
        <v>111</v>
      </c>
      <c r="U208" t="s">
        <v>112</v>
      </c>
      <c r="V208" s="1">
        <v>905.87</v>
      </c>
      <c r="W208" s="2">
        <f>Merged_Clinical_Finance_Data[[#This Row],[Occupied_Beds]]/Merged_Clinical_Finance_Data[[#This Row],[Total_Beds]]</f>
        <v>0.8</v>
      </c>
      <c r="X208">
        <f>IF(Merged_Clinical_Finance_Data[[#This Row],[30Day_Readmission]]="Yes",1,0)</f>
        <v>0</v>
      </c>
      <c r="Y208" t="str" cm="1">
        <f t="array" ref="Y20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208" t="str" cm="1">
        <f t="array" ref="Z208">_xlfn.IFS(Merged_Clinical_Finance_Data[[#This Row],[Length_of_Stay_Days]]&lt;3,"Short (&lt;3)",Merged_Clinical_Finance_Data[[#This Row],[Length_of_Stay_Days]]&lt;=7,"Medium (3-7)",TRUE,"Long (&gt;7)")</f>
        <v>Medium (3-7)</v>
      </c>
      <c r="AA208" s="3">
        <f>EOMONTH(Merged_Clinical_Finance_Data[[#This Row],[Admission_Date]],-1)+1</f>
        <v>45658</v>
      </c>
      <c r="AB208" s="1">
        <f>Merged_Clinical_Finance_Data[[#This Row],[Daily_Bed_Cost_GBP]]*Merged_Clinical_Finance_Data[[#This Row],[Length_of_Stay_Days]]</f>
        <v>2550</v>
      </c>
      <c r="AC208" t="str">
        <f>IF(Merged_Clinical_Finance_Data[[#This Row],[Total_Encounter_Cost_Naira]]&gt;AVERAGE(Merged_Clinical_Finance_Data[[#This Row],[Total_Encounter_Cost_Naira]]),"High","Normal")</f>
        <v>Normal</v>
      </c>
    </row>
    <row r="209" spans="1:29" x14ac:dyDescent="0.25">
      <c r="A209" t="s">
        <v>333</v>
      </c>
      <c r="B209" t="s">
        <v>114</v>
      </c>
      <c r="C209" t="s">
        <v>115</v>
      </c>
      <c r="D209" t="s">
        <v>42</v>
      </c>
      <c r="E209" s="3">
        <v>45679</v>
      </c>
      <c r="F209" s="3">
        <v>45689</v>
      </c>
      <c r="G209">
        <v>10.199999999999999</v>
      </c>
      <c r="H209">
        <v>58</v>
      </c>
      <c r="I209" t="s">
        <v>43</v>
      </c>
      <c r="J209" t="s">
        <v>44</v>
      </c>
      <c r="K209" t="s">
        <v>132</v>
      </c>
      <c r="L209" t="s">
        <v>117</v>
      </c>
      <c r="M209" t="s">
        <v>37</v>
      </c>
      <c r="N209" t="s">
        <v>38</v>
      </c>
      <c r="O209">
        <v>20</v>
      </c>
      <c r="P209">
        <v>30</v>
      </c>
      <c r="Q209">
        <v>0.66669999999999996</v>
      </c>
      <c r="R209">
        <v>425</v>
      </c>
      <c r="S209" s="1">
        <v>4335</v>
      </c>
      <c r="T209" t="s">
        <v>96</v>
      </c>
      <c r="U209" t="s">
        <v>97</v>
      </c>
      <c r="V209" s="1">
        <v>1406.22</v>
      </c>
      <c r="W209" s="2">
        <f>Merged_Clinical_Finance_Data[[#This Row],[Occupied_Beds]]/Merged_Clinical_Finance_Data[[#This Row],[Total_Beds]]</f>
        <v>0.66666666666666663</v>
      </c>
      <c r="X209">
        <f>IF(Merged_Clinical_Finance_Data[[#This Row],[30Day_Readmission]]="Yes",1,0)</f>
        <v>0</v>
      </c>
      <c r="Y209" t="str" cm="1">
        <f t="array" ref="Y20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09" t="str" cm="1">
        <f t="array" ref="Z209">_xlfn.IFS(Merged_Clinical_Finance_Data[[#This Row],[Length_of_Stay_Days]]&lt;3,"Short (&lt;3)",Merged_Clinical_Finance_Data[[#This Row],[Length_of_Stay_Days]]&lt;=7,"Medium (3-7)",TRUE,"Long (&gt;7)")</f>
        <v>Long (&gt;7)</v>
      </c>
      <c r="AA209" s="3">
        <f>EOMONTH(Merged_Clinical_Finance_Data[[#This Row],[Admission_Date]],-1)+1</f>
        <v>45658</v>
      </c>
      <c r="AB209" s="1">
        <f>Merged_Clinical_Finance_Data[[#This Row],[Daily_Bed_Cost_GBP]]*Merged_Clinical_Finance_Data[[#This Row],[Length_of_Stay_Days]]</f>
        <v>4335</v>
      </c>
      <c r="AC209" t="str">
        <f>IF(Merged_Clinical_Finance_Data[[#This Row],[Total_Encounter_Cost_Naira]]&gt;AVERAGE(Merged_Clinical_Finance_Data[[#This Row],[Total_Encounter_Cost_Naira]]),"High","Normal")</f>
        <v>Normal</v>
      </c>
    </row>
    <row r="210" spans="1:29" x14ac:dyDescent="0.25">
      <c r="A210" t="s">
        <v>334</v>
      </c>
      <c r="B210" t="s">
        <v>102</v>
      </c>
      <c r="C210" t="s">
        <v>103</v>
      </c>
      <c r="D210" t="s">
        <v>42</v>
      </c>
      <c r="E210" s="3">
        <v>45720</v>
      </c>
      <c r="F210" s="3">
        <v>45720</v>
      </c>
      <c r="G210">
        <v>0.5</v>
      </c>
      <c r="H210">
        <v>46</v>
      </c>
      <c r="I210" t="s">
        <v>33</v>
      </c>
      <c r="J210" t="s">
        <v>61</v>
      </c>
      <c r="K210" t="s">
        <v>153</v>
      </c>
      <c r="L210" t="s">
        <v>209</v>
      </c>
      <c r="M210" t="s">
        <v>54</v>
      </c>
      <c r="N210" t="s">
        <v>38</v>
      </c>
      <c r="O210">
        <v>24</v>
      </c>
      <c r="P210">
        <v>30</v>
      </c>
      <c r="Q210">
        <v>0.8</v>
      </c>
      <c r="R210">
        <v>425</v>
      </c>
      <c r="S210" s="1">
        <v>212.5</v>
      </c>
      <c r="T210" t="s">
        <v>84</v>
      </c>
      <c r="U210" t="s">
        <v>85</v>
      </c>
      <c r="V210" s="1">
        <v>2680.08</v>
      </c>
      <c r="W210" s="2">
        <f>Merged_Clinical_Finance_Data[[#This Row],[Occupied_Beds]]/Merged_Clinical_Finance_Data[[#This Row],[Total_Beds]]</f>
        <v>0.8</v>
      </c>
      <c r="X210">
        <f>IF(Merged_Clinical_Finance_Data[[#This Row],[30Day_Readmission]]="Yes",1,0)</f>
        <v>0</v>
      </c>
      <c r="Y210" t="str" cm="1">
        <f t="array" ref="Y21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10" t="str" cm="1">
        <f t="array" ref="Z210">_xlfn.IFS(Merged_Clinical_Finance_Data[[#This Row],[Length_of_Stay_Days]]&lt;3,"Short (&lt;3)",Merged_Clinical_Finance_Data[[#This Row],[Length_of_Stay_Days]]&lt;=7,"Medium (3-7)",TRUE,"Long (&gt;7)")</f>
        <v>Short (&lt;3)</v>
      </c>
      <c r="AA210" s="3">
        <f>EOMONTH(Merged_Clinical_Finance_Data[[#This Row],[Admission_Date]],-1)+1</f>
        <v>45717</v>
      </c>
      <c r="AB210" s="1">
        <f>Merged_Clinical_Finance_Data[[#This Row],[Daily_Bed_Cost_GBP]]*Merged_Clinical_Finance_Data[[#This Row],[Length_of_Stay_Days]]</f>
        <v>212.5</v>
      </c>
      <c r="AC210" t="str">
        <f>IF(Merged_Clinical_Finance_Data[[#This Row],[Total_Encounter_Cost_Naira]]&gt;AVERAGE(Merged_Clinical_Finance_Data[[#This Row],[Total_Encounter_Cost_Naira]]),"High","Normal")</f>
        <v>Normal</v>
      </c>
    </row>
    <row r="211" spans="1:29" x14ac:dyDescent="0.25">
      <c r="A211" t="s">
        <v>335</v>
      </c>
      <c r="B211" t="s">
        <v>58</v>
      </c>
      <c r="C211" t="s">
        <v>59</v>
      </c>
      <c r="D211" t="s">
        <v>42</v>
      </c>
      <c r="E211" s="3">
        <v>45849</v>
      </c>
      <c r="F211" s="3">
        <v>45851</v>
      </c>
      <c r="G211">
        <v>2.8</v>
      </c>
      <c r="H211">
        <v>79</v>
      </c>
      <c r="I211" t="s">
        <v>43</v>
      </c>
      <c r="J211" t="s">
        <v>51</v>
      </c>
      <c r="K211" t="s">
        <v>62</v>
      </c>
      <c r="L211" t="s">
        <v>291</v>
      </c>
      <c r="M211" t="s">
        <v>47</v>
      </c>
      <c r="N211" t="s">
        <v>38</v>
      </c>
      <c r="O211">
        <v>28</v>
      </c>
      <c r="P211">
        <v>30</v>
      </c>
      <c r="Q211">
        <v>0.93330000000000002</v>
      </c>
      <c r="R211">
        <v>375</v>
      </c>
      <c r="S211" s="1">
        <v>1050</v>
      </c>
      <c r="T211" t="s">
        <v>111</v>
      </c>
      <c r="U211" t="s">
        <v>112</v>
      </c>
      <c r="V211" s="1">
        <v>2309.04</v>
      </c>
      <c r="W211" s="2">
        <f>Merged_Clinical_Finance_Data[[#This Row],[Occupied_Beds]]/Merged_Clinical_Finance_Data[[#This Row],[Total_Beds]]</f>
        <v>0.93333333333333335</v>
      </c>
      <c r="X211">
        <f>IF(Merged_Clinical_Finance_Data[[#This Row],[30Day_Readmission]]="Yes",1,0)</f>
        <v>0</v>
      </c>
      <c r="Y211" t="str" cm="1">
        <f t="array" ref="Y21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211" t="str" cm="1">
        <f t="array" ref="Z211">_xlfn.IFS(Merged_Clinical_Finance_Data[[#This Row],[Length_of_Stay_Days]]&lt;3,"Short (&lt;3)",Merged_Clinical_Finance_Data[[#This Row],[Length_of_Stay_Days]]&lt;=7,"Medium (3-7)",TRUE,"Long (&gt;7)")</f>
        <v>Short (&lt;3)</v>
      </c>
      <c r="AA211" s="3">
        <f>EOMONTH(Merged_Clinical_Finance_Data[[#This Row],[Admission_Date]],-1)+1</f>
        <v>45839</v>
      </c>
      <c r="AB211" s="1">
        <f>Merged_Clinical_Finance_Data[[#This Row],[Daily_Bed_Cost_GBP]]*Merged_Clinical_Finance_Data[[#This Row],[Length_of_Stay_Days]]</f>
        <v>1050</v>
      </c>
      <c r="AC211" t="str">
        <f>IF(Merged_Clinical_Finance_Data[[#This Row],[Total_Encounter_Cost_Naira]]&gt;AVERAGE(Merged_Clinical_Finance_Data[[#This Row],[Total_Encounter_Cost_Naira]]),"High","Normal")</f>
        <v>Normal</v>
      </c>
    </row>
    <row r="212" spans="1:29" x14ac:dyDescent="0.25">
      <c r="A212" t="s">
        <v>336</v>
      </c>
      <c r="B212" t="s">
        <v>49</v>
      </c>
      <c r="C212" t="s">
        <v>50</v>
      </c>
      <c r="D212" t="s">
        <v>42</v>
      </c>
      <c r="E212" s="3">
        <v>45987</v>
      </c>
      <c r="F212" s="3">
        <v>45996</v>
      </c>
      <c r="G212">
        <v>9.6999999999999993</v>
      </c>
      <c r="H212">
        <v>56</v>
      </c>
      <c r="I212" t="s">
        <v>43</v>
      </c>
      <c r="J212" t="s">
        <v>44</v>
      </c>
      <c r="K212" t="s">
        <v>143</v>
      </c>
      <c r="L212" t="s">
        <v>53</v>
      </c>
      <c r="M212" t="s">
        <v>47</v>
      </c>
      <c r="N212" t="s">
        <v>38</v>
      </c>
      <c r="O212">
        <v>22</v>
      </c>
      <c r="P212">
        <v>30</v>
      </c>
      <c r="Q212">
        <v>0.73329999999999995</v>
      </c>
      <c r="R212">
        <v>480</v>
      </c>
      <c r="S212" s="1">
        <v>4656</v>
      </c>
      <c r="T212" t="s">
        <v>136</v>
      </c>
      <c r="U212" t="s">
        <v>137</v>
      </c>
      <c r="V212" s="1">
        <v>3220.87</v>
      </c>
      <c r="W212" s="2">
        <f>Merged_Clinical_Finance_Data[[#This Row],[Occupied_Beds]]/Merged_Clinical_Finance_Data[[#This Row],[Total_Beds]]</f>
        <v>0.73333333333333328</v>
      </c>
      <c r="X212">
        <f>IF(Merged_Clinical_Finance_Data[[#This Row],[30Day_Readmission]]="Yes",1,0)</f>
        <v>0</v>
      </c>
      <c r="Y212" t="str" cm="1">
        <f t="array" ref="Y21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12" t="str" cm="1">
        <f t="array" ref="Z212">_xlfn.IFS(Merged_Clinical_Finance_Data[[#This Row],[Length_of_Stay_Days]]&lt;3,"Short (&lt;3)",Merged_Clinical_Finance_Data[[#This Row],[Length_of_Stay_Days]]&lt;=7,"Medium (3-7)",TRUE,"Long (&gt;7)")</f>
        <v>Long (&gt;7)</v>
      </c>
      <c r="AA212" s="3">
        <f>EOMONTH(Merged_Clinical_Finance_Data[[#This Row],[Admission_Date]],-1)+1</f>
        <v>45962</v>
      </c>
      <c r="AB212" s="1">
        <f>Merged_Clinical_Finance_Data[[#This Row],[Daily_Bed_Cost_GBP]]*Merged_Clinical_Finance_Data[[#This Row],[Length_of_Stay_Days]]</f>
        <v>4656</v>
      </c>
      <c r="AC212" t="str">
        <f>IF(Merged_Clinical_Finance_Data[[#This Row],[Total_Encounter_Cost_Naira]]&gt;AVERAGE(Merged_Clinical_Finance_Data[[#This Row],[Total_Encounter_Cost_Naira]]),"High","Normal")</f>
        <v>Normal</v>
      </c>
    </row>
    <row r="213" spans="1:29" x14ac:dyDescent="0.25">
      <c r="A213" t="s">
        <v>337</v>
      </c>
      <c r="B213" t="s">
        <v>102</v>
      </c>
      <c r="C213" t="s">
        <v>103</v>
      </c>
      <c r="D213" t="s">
        <v>32</v>
      </c>
      <c r="E213" s="3">
        <v>45874</v>
      </c>
      <c r="F213" s="3">
        <v>45874</v>
      </c>
      <c r="G213">
        <v>0.9</v>
      </c>
      <c r="H213">
        <v>72</v>
      </c>
      <c r="I213" t="s">
        <v>43</v>
      </c>
      <c r="J213" t="s">
        <v>51</v>
      </c>
      <c r="K213" t="s">
        <v>104</v>
      </c>
      <c r="L213" t="s">
        <v>105</v>
      </c>
      <c r="M213" t="s">
        <v>74</v>
      </c>
      <c r="N213" t="s">
        <v>38</v>
      </c>
      <c r="O213">
        <v>16</v>
      </c>
      <c r="P213">
        <v>30</v>
      </c>
      <c r="Q213">
        <v>0.5333</v>
      </c>
      <c r="R213">
        <v>425</v>
      </c>
      <c r="S213" s="1">
        <v>382.5</v>
      </c>
      <c r="T213" t="s">
        <v>89</v>
      </c>
      <c r="U213" t="s">
        <v>90</v>
      </c>
      <c r="V213" s="1">
        <v>4740.8900000000003</v>
      </c>
      <c r="W213" s="2">
        <f>Merged_Clinical_Finance_Data[[#This Row],[Occupied_Beds]]/Merged_Clinical_Finance_Data[[#This Row],[Total_Beds]]</f>
        <v>0.53333333333333333</v>
      </c>
      <c r="X213">
        <f>IF(Merged_Clinical_Finance_Data[[#This Row],[30Day_Readmission]]="Yes",1,0)</f>
        <v>0</v>
      </c>
      <c r="Y213" t="str" cm="1">
        <f t="array" ref="Y21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213" t="str" cm="1">
        <f t="array" ref="Z213">_xlfn.IFS(Merged_Clinical_Finance_Data[[#This Row],[Length_of_Stay_Days]]&lt;3,"Short (&lt;3)",Merged_Clinical_Finance_Data[[#This Row],[Length_of_Stay_Days]]&lt;=7,"Medium (3-7)",TRUE,"Long (&gt;7)")</f>
        <v>Short (&lt;3)</v>
      </c>
      <c r="AA213" s="3">
        <f>EOMONTH(Merged_Clinical_Finance_Data[[#This Row],[Admission_Date]],-1)+1</f>
        <v>45870</v>
      </c>
      <c r="AB213" s="1">
        <f>Merged_Clinical_Finance_Data[[#This Row],[Daily_Bed_Cost_GBP]]*Merged_Clinical_Finance_Data[[#This Row],[Length_of_Stay_Days]]</f>
        <v>382.5</v>
      </c>
      <c r="AC213" t="str">
        <f>IF(Merged_Clinical_Finance_Data[[#This Row],[Total_Encounter_Cost_Naira]]&gt;AVERAGE(Merged_Clinical_Finance_Data[[#This Row],[Total_Encounter_Cost_Naira]]),"High","Normal")</f>
        <v>Normal</v>
      </c>
    </row>
    <row r="214" spans="1:29" x14ac:dyDescent="0.25">
      <c r="A214" t="s">
        <v>338</v>
      </c>
      <c r="B214" t="s">
        <v>30</v>
      </c>
      <c r="C214" t="s">
        <v>31</v>
      </c>
      <c r="D214" t="s">
        <v>42</v>
      </c>
      <c r="E214" s="3">
        <v>45795</v>
      </c>
      <c r="F214" s="3">
        <v>45803</v>
      </c>
      <c r="G214">
        <v>8.6</v>
      </c>
      <c r="H214">
        <v>31</v>
      </c>
      <c r="I214" t="s">
        <v>33</v>
      </c>
      <c r="J214" t="s">
        <v>34</v>
      </c>
      <c r="K214" t="s">
        <v>45</v>
      </c>
      <c r="L214" t="s">
        <v>92</v>
      </c>
      <c r="M214" t="s">
        <v>74</v>
      </c>
      <c r="N214" t="s">
        <v>38</v>
      </c>
      <c r="O214">
        <v>17</v>
      </c>
      <c r="P214">
        <v>30</v>
      </c>
      <c r="Q214">
        <v>0.56669999999999998</v>
      </c>
      <c r="R214">
        <v>400</v>
      </c>
      <c r="S214" s="1">
        <v>3440</v>
      </c>
      <c r="T214" t="s">
        <v>136</v>
      </c>
      <c r="U214" t="s">
        <v>137</v>
      </c>
      <c r="V214" s="1">
        <v>3807.64</v>
      </c>
      <c r="W214" s="2">
        <f>Merged_Clinical_Finance_Data[[#This Row],[Occupied_Beds]]/Merged_Clinical_Finance_Data[[#This Row],[Total_Beds]]</f>
        <v>0.56666666666666665</v>
      </c>
      <c r="X214">
        <f>IF(Merged_Clinical_Finance_Data[[#This Row],[30Day_Readmission]]="Yes",1,0)</f>
        <v>0</v>
      </c>
      <c r="Y214" t="str" cm="1">
        <f t="array" ref="Y21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14" t="str" cm="1">
        <f t="array" ref="Z214">_xlfn.IFS(Merged_Clinical_Finance_Data[[#This Row],[Length_of_Stay_Days]]&lt;3,"Short (&lt;3)",Merged_Clinical_Finance_Data[[#This Row],[Length_of_Stay_Days]]&lt;=7,"Medium (3-7)",TRUE,"Long (&gt;7)")</f>
        <v>Long (&gt;7)</v>
      </c>
      <c r="AA214" s="3">
        <f>EOMONTH(Merged_Clinical_Finance_Data[[#This Row],[Admission_Date]],-1)+1</f>
        <v>45778</v>
      </c>
      <c r="AB214" s="1">
        <f>Merged_Clinical_Finance_Data[[#This Row],[Daily_Bed_Cost_GBP]]*Merged_Clinical_Finance_Data[[#This Row],[Length_of_Stay_Days]]</f>
        <v>3440</v>
      </c>
      <c r="AC214" t="str">
        <f>IF(Merged_Clinical_Finance_Data[[#This Row],[Total_Encounter_Cost_Naira]]&gt;AVERAGE(Merged_Clinical_Finance_Data[[#This Row],[Total_Encounter_Cost_Naira]]),"High","Normal")</f>
        <v>Normal</v>
      </c>
    </row>
    <row r="215" spans="1:29" x14ac:dyDescent="0.25">
      <c r="A215" t="s">
        <v>339</v>
      </c>
      <c r="B215" t="s">
        <v>30</v>
      </c>
      <c r="C215" t="s">
        <v>31</v>
      </c>
      <c r="D215" t="s">
        <v>32</v>
      </c>
      <c r="E215" s="3">
        <v>45974</v>
      </c>
      <c r="F215" s="3">
        <v>45981</v>
      </c>
      <c r="G215">
        <v>7.7</v>
      </c>
      <c r="H215">
        <v>37</v>
      </c>
      <c r="I215" t="s">
        <v>33</v>
      </c>
      <c r="J215" t="s">
        <v>61</v>
      </c>
      <c r="K215" t="s">
        <v>45</v>
      </c>
      <c r="L215" t="s">
        <v>92</v>
      </c>
      <c r="M215" t="s">
        <v>37</v>
      </c>
      <c r="N215" t="s">
        <v>38</v>
      </c>
      <c r="O215">
        <v>28</v>
      </c>
      <c r="P215">
        <v>30</v>
      </c>
      <c r="Q215">
        <v>0.93330000000000002</v>
      </c>
      <c r="R215">
        <v>450</v>
      </c>
      <c r="S215" s="1">
        <v>3465</v>
      </c>
      <c r="T215" t="s">
        <v>111</v>
      </c>
      <c r="U215" t="s">
        <v>112</v>
      </c>
      <c r="V215" s="1">
        <v>2572.42</v>
      </c>
      <c r="W215" s="2">
        <f>Merged_Clinical_Finance_Data[[#This Row],[Occupied_Beds]]/Merged_Clinical_Finance_Data[[#This Row],[Total_Beds]]</f>
        <v>0.93333333333333335</v>
      </c>
      <c r="X215">
        <f>IF(Merged_Clinical_Finance_Data[[#This Row],[30Day_Readmission]]="Yes",1,0)</f>
        <v>0</v>
      </c>
      <c r="Y215" t="str" cm="1">
        <f t="array" ref="Y21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15" t="str" cm="1">
        <f t="array" ref="Z215">_xlfn.IFS(Merged_Clinical_Finance_Data[[#This Row],[Length_of_Stay_Days]]&lt;3,"Short (&lt;3)",Merged_Clinical_Finance_Data[[#This Row],[Length_of_Stay_Days]]&lt;=7,"Medium (3-7)",TRUE,"Long (&gt;7)")</f>
        <v>Long (&gt;7)</v>
      </c>
      <c r="AA215" s="3">
        <f>EOMONTH(Merged_Clinical_Finance_Data[[#This Row],[Admission_Date]],-1)+1</f>
        <v>45962</v>
      </c>
      <c r="AB215" s="1">
        <f>Merged_Clinical_Finance_Data[[#This Row],[Daily_Bed_Cost_GBP]]*Merged_Clinical_Finance_Data[[#This Row],[Length_of_Stay_Days]]</f>
        <v>3465</v>
      </c>
      <c r="AC215" t="str">
        <f>IF(Merged_Clinical_Finance_Data[[#This Row],[Total_Encounter_Cost_Naira]]&gt;AVERAGE(Merged_Clinical_Finance_Data[[#This Row],[Total_Encounter_Cost_Naira]]),"High","Normal")</f>
        <v>Normal</v>
      </c>
    </row>
    <row r="216" spans="1:29" x14ac:dyDescent="0.25">
      <c r="A216" t="s">
        <v>340</v>
      </c>
      <c r="B216" t="s">
        <v>58</v>
      </c>
      <c r="C216" t="s">
        <v>59</v>
      </c>
      <c r="D216" t="s">
        <v>42</v>
      </c>
      <c r="E216" s="3">
        <v>45806</v>
      </c>
      <c r="F216" s="3">
        <v>45811</v>
      </c>
      <c r="G216">
        <v>5.5</v>
      </c>
      <c r="H216">
        <v>77</v>
      </c>
      <c r="I216" t="s">
        <v>33</v>
      </c>
      <c r="J216" t="s">
        <v>73</v>
      </c>
      <c r="K216" t="s">
        <v>95</v>
      </c>
      <c r="L216" t="s">
        <v>119</v>
      </c>
      <c r="M216" t="s">
        <v>47</v>
      </c>
      <c r="N216" t="s">
        <v>38</v>
      </c>
      <c r="O216">
        <v>13</v>
      </c>
      <c r="P216">
        <v>30</v>
      </c>
      <c r="Q216">
        <v>0.43330000000000002</v>
      </c>
      <c r="R216">
        <v>400</v>
      </c>
      <c r="S216" s="1">
        <v>2200</v>
      </c>
      <c r="T216" t="s">
        <v>39</v>
      </c>
      <c r="U216" t="s">
        <v>40</v>
      </c>
      <c r="V216" s="1">
        <v>3368.77</v>
      </c>
      <c r="W216" s="2">
        <f>Merged_Clinical_Finance_Data[[#This Row],[Occupied_Beds]]/Merged_Clinical_Finance_Data[[#This Row],[Total_Beds]]</f>
        <v>0.43333333333333335</v>
      </c>
      <c r="X216">
        <f>IF(Merged_Clinical_Finance_Data[[#This Row],[30Day_Readmission]]="Yes",1,0)</f>
        <v>0</v>
      </c>
      <c r="Y216" t="str" cm="1">
        <f t="array" ref="Y21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216" t="str" cm="1">
        <f t="array" ref="Z216">_xlfn.IFS(Merged_Clinical_Finance_Data[[#This Row],[Length_of_Stay_Days]]&lt;3,"Short (&lt;3)",Merged_Clinical_Finance_Data[[#This Row],[Length_of_Stay_Days]]&lt;=7,"Medium (3-7)",TRUE,"Long (&gt;7)")</f>
        <v>Medium (3-7)</v>
      </c>
      <c r="AA216" s="3">
        <f>EOMONTH(Merged_Clinical_Finance_Data[[#This Row],[Admission_Date]],-1)+1</f>
        <v>45778</v>
      </c>
      <c r="AB216" s="1">
        <f>Merged_Clinical_Finance_Data[[#This Row],[Daily_Bed_Cost_GBP]]*Merged_Clinical_Finance_Data[[#This Row],[Length_of_Stay_Days]]</f>
        <v>2200</v>
      </c>
      <c r="AC216" t="str">
        <f>IF(Merged_Clinical_Finance_Data[[#This Row],[Total_Encounter_Cost_Naira]]&gt;AVERAGE(Merged_Clinical_Finance_Data[[#This Row],[Total_Encounter_Cost_Naira]]),"High","Normal")</f>
        <v>Normal</v>
      </c>
    </row>
    <row r="217" spans="1:29" x14ac:dyDescent="0.25">
      <c r="A217" t="s">
        <v>341</v>
      </c>
      <c r="B217" t="s">
        <v>30</v>
      </c>
      <c r="C217" t="s">
        <v>31</v>
      </c>
      <c r="D217" t="s">
        <v>42</v>
      </c>
      <c r="E217" s="3">
        <v>45884</v>
      </c>
      <c r="F217" s="3">
        <v>45890</v>
      </c>
      <c r="G217">
        <v>6.1</v>
      </c>
      <c r="H217">
        <v>60</v>
      </c>
      <c r="I217" t="s">
        <v>33</v>
      </c>
      <c r="J217" t="s">
        <v>81</v>
      </c>
      <c r="K217" t="s">
        <v>35</v>
      </c>
      <c r="L217" t="s">
        <v>92</v>
      </c>
      <c r="M217" t="s">
        <v>47</v>
      </c>
      <c r="N217" t="s">
        <v>38</v>
      </c>
      <c r="O217">
        <v>17</v>
      </c>
      <c r="P217">
        <v>30</v>
      </c>
      <c r="Q217">
        <v>0.56669999999999998</v>
      </c>
      <c r="R217">
        <v>350</v>
      </c>
      <c r="S217" s="1">
        <v>2135</v>
      </c>
      <c r="T217" t="s">
        <v>89</v>
      </c>
      <c r="U217" t="s">
        <v>90</v>
      </c>
      <c r="V217" s="1">
        <v>7823.03</v>
      </c>
      <c r="W217" s="2">
        <f>Merged_Clinical_Finance_Data[[#This Row],[Occupied_Beds]]/Merged_Clinical_Finance_Data[[#This Row],[Total_Beds]]</f>
        <v>0.56666666666666665</v>
      </c>
      <c r="X217">
        <f>IF(Merged_Clinical_Finance_Data[[#This Row],[30Day_Readmission]]="Yes",1,0)</f>
        <v>0</v>
      </c>
      <c r="Y217" t="str" cm="1">
        <f t="array" ref="Y21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17" t="str" cm="1">
        <f t="array" ref="Z217">_xlfn.IFS(Merged_Clinical_Finance_Data[[#This Row],[Length_of_Stay_Days]]&lt;3,"Short (&lt;3)",Merged_Clinical_Finance_Data[[#This Row],[Length_of_Stay_Days]]&lt;=7,"Medium (3-7)",TRUE,"Long (&gt;7)")</f>
        <v>Medium (3-7)</v>
      </c>
      <c r="AA217" s="3">
        <f>EOMONTH(Merged_Clinical_Finance_Data[[#This Row],[Admission_Date]],-1)+1</f>
        <v>45870</v>
      </c>
      <c r="AB217" s="1">
        <f>Merged_Clinical_Finance_Data[[#This Row],[Daily_Bed_Cost_GBP]]*Merged_Clinical_Finance_Data[[#This Row],[Length_of_Stay_Days]]</f>
        <v>2135</v>
      </c>
      <c r="AC217" t="str">
        <f>IF(Merged_Clinical_Finance_Data[[#This Row],[Total_Encounter_Cost_Naira]]&gt;AVERAGE(Merged_Clinical_Finance_Data[[#This Row],[Total_Encounter_Cost_Naira]]),"High","Normal")</f>
        <v>Normal</v>
      </c>
    </row>
    <row r="218" spans="1:29" x14ac:dyDescent="0.25">
      <c r="A218" t="s">
        <v>342</v>
      </c>
      <c r="B218" t="s">
        <v>49</v>
      </c>
      <c r="C218" t="s">
        <v>50</v>
      </c>
      <c r="D218" t="s">
        <v>60</v>
      </c>
      <c r="E218" s="3">
        <v>45778</v>
      </c>
      <c r="F218" s="3">
        <v>45788</v>
      </c>
      <c r="G218">
        <v>10.7</v>
      </c>
      <c r="H218">
        <v>68</v>
      </c>
      <c r="I218" t="s">
        <v>43</v>
      </c>
      <c r="J218" t="s">
        <v>34</v>
      </c>
      <c r="K218" t="s">
        <v>143</v>
      </c>
      <c r="L218" t="s">
        <v>53</v>
      </c>
      <c r="M218" t="s">
        <v>37</v>
      </c>
      <c r="N218" t="s">
        <v>38</v>
      </c>
      <c r="O218">
        <v>16</v>
      </c>
      <c r="P218">
        <v>30</v>
      </c>
      <c r="Q218">
        <v>0.5333</v>
      </c>
      <c r="R218">
        <v>450</v>
      </c>
      <c r="S218" s="1">
        <v>4815</v>
      </c>
      <c r="T218" t="s">
        <v>64</v>
      </c>
      <c r="U218" t="s">
        <v>65</v>
      </c>
      <c r="V218" s="1">
        <v>1223.51</v>
      </c>
      <c r="W218" s="2">
        <f>Merged_Clinical_Finance_Data[[#This Row],[Occupied_Beds]]/Merged_Clinical_Finance_Data[[#This Row],[Total_Beds]]</f>
        <v>0.53333333333333333</v>
      </c>
      <c r="X218">
        <f>IF(Merged_Clinical_Finance_Data[[#This Row],[30Day_Readmission]]="Yes",1,0)</f>
        <v>0</v>
      </c>
      <c r="Y218" t="str" cm="1">
        <f t="array" ref="Y21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218" t="str" cm="1">
        <f t="array" ref="Z218">_xlfn.IFS(Merged_Clinical_Finance_Data[[#This Row],[Length_of_Stay_Days]]&lt;3,"Short (&lt;3)",Merged_Clinical_Finance_Data[[#This Row],[Length_of_Stay_Days]]&lt;=7,"Medium (3-7)",TRUE,"Long (&gt;7)")</f>
        <v>Long (&gt;7)</v>
      </c>
      <c r="AA218" s="3">
        <f>EOMONTH(Merged_Clinical_Finance_Data[[#This Row],[Admission_Date]],-1)+1</f>
        <v>45778</v>
      </c>
      <c r="AB218" s="1">
        <f>Merged_Clinical_Finance_Data[[#This Row],[Daily_Bed_Cost_GBP]]*Merged_Clinical_Finance_Data[[#This Row],[Length_of_Stay_Days]]</f>
        <v>4815</v>
      </c>
      <c r="AC218" t="str">
        <f>IF(Merged_Clinical_Finance_Data[[#This Row],[Total_Encounter_Cost_Naira]]&gt;AVERAGE(Merged_Clinical_Finance_Data[[#This Row],[Total_Encounter_Cost_Naira]]),"High","Normal")</f>
        <v>Normal</v>
      </c>
    </row>
    <row r="219" spans="1:29" x14ac:dyDescent="0.25">
      <c r="A219" t="s">
        <v>343</v>
      </c>
      <c r="B219" t="s">
        <v>114</v>
      </c>
      <c r="C219" t="s">
        <v>115</v>
      </c>
      <c r="D219" t="s">
        <v>42</v>
      </c>
      <c r="E219" s="3">
        <v>45983</v>
      </c>
      <c r="F219" s="3">
        <v>45986</v>
      </c>
      <c r="G219">
        <v>3.6</v>
      </c>
      <c r="H219">
        <v>52</v>
      </c>
      <c r="I219" t="s">
        <v>33</v>
      </c>
      <c r="J219" t="s">
        <v>51</v>
      </c>
      <c r="K219" t="s">
        <v>132</v>
      </c>
      <c r="L219" t="s">
        <v>117</v>
      </c>
      <c r="M219" t="s">
        <v>47</v>
      </c>
      <c r="N219" t="s">
        <v>38</v>
      </c>
      <c r="O219">
        <v>17</v>
      </c>
      <c r="P219">
        <v>30</v>
      </c>
      <c r="Q219">
        <v>0.56669999999999998</v>
      </c>
      <c r="R219">
        <v>450</v>
      </c>
      <c r="S219" s="1">
        <v>1620</v>
      </c>
      <c r="T219" t="s">
        <v>64</v>
      </c>
      <c r="U219" t="s">
        <v>65</v>
      </c>
      <c r="V219" s="1">
        <v>1715.72</v>
      </c>
      <c r="W219" s="2">
        <f>Merged_Clinical_Finance_Data[[#This Row],[Occupied_Beds]]/Merged_Clinical_Finance_Data[[#This Row],[Total_Beds]]</f>
        <v>0.56666666666666665</v>
      </c>
      <c r="X219">
        <f>IF(Merged_Clinical_Finance_Data[[#This Row],[30Day_Readmission]]="Yes",1,0)</f>
        <v>0</v>
      </c>
      <c r="Y219" t="str" cm="1">
        <f t="array" ref="Y21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19" t="str" cm="1">
        <f t="array" ref="Z219">_xlfn.IFS(Merged_Clinical_Finance_Data[[#This Row],[Length_of_Stay_Days]]&lt;3,"Short (&lt;3)",Merged_Clinical_Finance_Data[[#This Row],[Length_of_Stay_Days]]&lt;=7,"Medium (3-7)",TRUE,"Long (&gt;7)")</f>
        <v>Medium (3-7)</v>
      </c>
      <c r="AA219" s="3">
        <f>EOMONTH(Merged_Clinical_Finance_Data[[#This Row],[Admission_Date]],-1)+1</f>
        <v>45962</v>
      </c>
      <c r="AB219" s="1">
        <f>Merged_Clinical_Finance_Data[[#This Row],[Daily_Bed_Cost_GBP]]*Merged_Clinical_Finance_Data[[#This Row],[Length_of_Stay_Days]]</f>
        <v>1620</v>
      </c>
      <c r="AC219" t="str">
        <f>IF(Merged_Clinical_Finance_Data[[#This Row],[Total_Encounter_Cost_Naira]]&gt;AVERAGE(Merged_Clinical_Finance_Data[[#This Row],[Total_Encounter_Cost_Naira]]),"High","Normal")</f>
        <v>Normal</v>
      </c>
    </row>
    <row r="220" spans="1:29" x14ac:dyDescent="0.25">
      <c r="A220" t="s">
        <v>344</v>
      </c>
      <c r="B220" t="s">
        <v>58</v>
      </c>
      <c r="C220" t="s">
        <v>59</v>
      </c>
      <c r="D220" t="s">
        <v>42</v>
      </c>
      <c r="E220" s="3">
        <v>45667</v>
      </c>
      <c r="F220" s="3">
        <v>45670</v>
      </c>
      <c r="G220">
        <v>3.7</v>
      </c>
      <c r="H220">
        <v>31</v>
      </c>
      <c r="I220" t="s">
        <v>43</v>
      </c>
      <c r="J220" t="s">
        <v>81</v>
      </c>
      <c r="K220" t="s">
        <v>95</v>
      </c>
      <c r="L220" t="s">
        <v>63</v>
      </c>
      <c r="M220" t="s">
        <v>54</v>
      </c>
      <c r="N220" t="s">
        <v>38</v>
      </c>
      <c r="O220">
        <v>12</v>
      </c>
      <c r="P220">
        <v>30</v>
      </c>
      <c r="Q220">
        <v>0.4</v>
      </c>
      <c r="R220">
        <v>400</v>
      </c>
      <c r="S220" s="1">
        <v>1480</v>
      </c>
      <c r="T220" t="s">
        <v>136</v>
      </c>
      <c r="U220" t="s">
        <v>137</v>
      </c>
      <c r="V220" s="1">
        <v>1890.67</v>
      </c>
      <c r="W220" s="2">
        <f>Merged_Clinical_Finance_Data[[#This Row],[Occupied_Beds]]/Merged_Clinical_Finance_Data[[#This Row],[Total_Beds]]</f>
        <v>0.4</v>
      </c>
      <c r="X220">
        <f>IF(Merged_Clinical_Finance_Data[[#This Row],[30Day_Readmission]]="Yes",1,0)</f>
        <v>0</v>
      </c>
      <c r="Y220" t="str" cm="1">
        <f t="array" ref="Y22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20" t="str" cm="1">
        <f t="array" ref="Z220">_xlfn.IFS(Merged_Clinical_Finance_Data[[#This Row],[Length_of_Stay_Days]]&lt;3,"Short (&lt;3)",Merged_Clinical_Finance_Data[[#This Row],[Length_of_Stay_Days]]&lt;=7,"Medium (3-7)",TRUE,"Long (&gt;7)")</f>
        <v>Medium (3-7)</v>
      </c>
      <c r="AA220" s="3">
        <f>EOMONTH(Merged_Clinical_Finance_Data[[#This Row],[Admission_Date]],-1)+1</f>
        <v>45658</v>
      </c>
      <c r="AB220" s="1">
        <f>Merged_Clinical_Finance_Data[[#This Row],[Daily_Bed_Cost_GBP]]*Merged_Clinical_Finance_Data[[#This Row],[Length_of_Stay_Days]]</f>
        <v>1480</v>
      </c>
      <c r="AC220" t="str">
        <f>IF(Merged_Clinical_Finance_Data[[#This Row],[Total_Encounter_Cost_Naira]]&gt;AVERAGE(Merged_Clinical_Finance_Data[[#This Row],[Total_Encounter_Cost_Naira]]),"High","Normal")</f>
        <v>Normal</v>
      </c>
    </row>
    <row r="221" spans="1:29" x14ac:dyDescent="0.25">
      <c r="A221" t="s">
        <v>345</v>
      </c>
      <c r="B221" t="s">
        <v>107</v>
      </c>
      <c r="C221" t="s">
        <v>108</v>
      </c>
      <c r="D221" t="s">
        <v>32</v>
      </c>
      <c r="E221" s="3">
        <v>45745</v>
      </c>
      <c r="F221" s="3">
        <v>45751</v>
      </c>
      <c r="G221">
        <v>6.6</v>
      </c>
      <c r="H221">
        <v>22</v>
      </c>
      <c r="I221" t="s">
        <v>43</v>
      </c>
      <c r="J221" t="s">
        <v>73</v>
      </c>
      <c r="K221" t="s">
        <v>158</v>
      </c>
      <c r="L221" t="s">
        <v>121</v>
      </c>
      <c r="M221" t="s">
        <v>47</v>
      </c>
      <c r="N221" t="s">
        <v>38</v>
      </c>
      <c r="O221">
        <v>21</v>
      </c>
      <c r="P221">
        <v>30</v>
      </c>
      <c r="Q221">
        <v>0.7</v>
      </c>
      <c r="R221">
        <v>350</v>
      </c>
      <c r="S221" s="1">
        <v>2310</v>
      </c>
      <c r="T221" t="s">
        <v>39</v>
      </c>
      <c r="U221" t="s">
        <v>40</v>
      </c>
      <c r="V221" s="1">
        <v>1250.23</v>
      </c>
      <c r="W221" s="2">
        <f>Merged_Clinical_Finance_Data[[#This Row],[Occupied_Beds]]/Merged_Clinical_Finance_Data[[#This Row],[Total_Beds]]</f>
        <v>0.7</v>
      </c>
      <c r="X221">
        <f>IF(Merged_Clinical_Finance_Data[[#This Row],[30Day_Readmission]]="Yes",1,0)</f>
        <v>0</v>
      </c>
      <c r="Y221" t="str" cm="1">
        <f t="array" ref="Y22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21" t="str" cm="1">
        <f t="array" ref="Z221">_xlfn.IFS(Merged_Clinical_Finance_Data[[#This Row],[Length_of_Stay_Days]]&lt;3,"Short (&lt;3)",Merged_Clinical_Finance_Data[[#This Row],[Length_of_Stay_Days]]&lt;=7,"Medium (3-7)",TRUE,"Long (&gt;7)")</f>
        <v>Medium (3-7)</v>
      </c>
      <c r="AA221" s="3">
        <f>EOMONTH(Merged_Clinical_Finance_Data[[#This Row],[Admission_Date]],-1)+1</f>
        <v>45717</v>
      </c>
      <c r="AB221" s="1">
        <f>Merged_Clinical_Finance_Data[[#This Row],[Daily_Bed_Cost_GBP]]*Merged_Clinical_Finance_Data[[#This Row],[Length_of_Stay_Days]]</f>
        <v>2310</v>
      </c>
      <c r="AC221" t="str">
        <f>IF(Merged_Clinical_Finance_Data[[#This Row],[Total_Encounter_Cost_Naira]]&gt;AVERAGE(Merged_Clinical_Finance_Data[[#This Row],[Total_Encounter_Cost_Naira]]),"High","Normal")</f>
        <v>Normal</v>
      </c>
    </row>
    <row r="222" spans="1:29" x14ac:dyDescent="0.25">
      <c r="A222" t="s">
        <v>346</v>
      </c>
      <c r="B222" t="s">
        <v>79</v>
      </c>
      <c r="C222" t="s">
        <v>80</v>
      </c>
      <c r="D222" t="s">
        <v>60</v>
      </c>
      <c r="E222" s="3">
        <v>45798</v>
      </c>
      <c r="F222" s="3">
        <v>45799</v>
      </c>
      <c r="G222">
        <v>1.5</v>
      </c>
      <c r="H222">
        <v>82</v>
      </c>
      <c r="I222" t="s">
        <v>43</v>
      </c>
      <c r="J222" t="s">
        <v>73</v>
      </c>
      <c r="K222" t="s">
        <v>82</v>
      </c>
      <c r="L222" t="s">
        <v>145</v>
      </c>
      <c r="M222" t="s">
        <v>74</v>
      </c>
      <c r="N222" t="s">
        <v>38</v>
      </c>
      <c r="O222">
        <v>30</v>
      </c>
      <c r="P222">
        <v>30</v>
      </c>
      <c r="Q222">
        <v>1</v>
      </c>
      <c r="R222">
        <v>450</v>
      </c>
      <c r="S222" s="1">
        <v>675</v>
      </c>
      <c r="T222" t="s">
        <v>136</v>
      </c>
      <c r="U222" t="s">
        <v>137</v>
      </c>
      <c r="V222" s="1">
        <v>1676</v>
      </c>
      <c r="W222" s="2">
        <f>Merged_Clinical_Finance_Data[[#This Row],[Occupied_Beds]]/Merged_Clinical_Finance_Data[[#This Row],[Total_Beds]]</f>
        <v>1</v>
      </c>
      <c r="X222">
        <f>IF(Merged_Clinical_Finance_Data[[#This Row],[30Day_Readmission]]="Yes",1,0)</f>
        <v>0</v>
      </c>
      <c r="Y222" t="str" cm="1">
        <f t="array" ref="Y22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222" t="str" cm="1">
        <f t="array" ref="Z222">_xlfn.IFS(Merged_Clinical_Finance_Data[[#This Row],[Length_of_Stay_Days]]&lt;3,"Short (&lt;3)",Merged_Clinical_Finance_Data[[#This Row],[Length_of_Stay_Days]]&lt;=7,"Medium (3-7)",TRUE,"Long (&gt;7)")</f>
        <v>Short (&lt;3)</v>
      </c>
      <c r="AA222" s="3">
        <f>EOMONTH(Merged_Clinical_Finance_Data[[#This Row],[Admission_Date]],-1)+1</f>
        <v>45778</v>
      </c>
      <c r="AB222" s="1">
        <f>Merged_Clinical_Finance_Data[[#This Row],[Daily_Bed_Cost_GBP]]*Merged_Clinical_Finance_Data[[#This Row],[Length_of_Stay_Days]]</f>
        <v>675</v>
      </c>
      <c r="AC222" t="str">
        <f>IF(Merged_Clinical_Finance_Data[[#This Row],[Total_Encounter_Cost_Naira]]&gt;AVERAGE(Merged_Clinical_Finance_Data[[#This Row],[Total_Encounter_Cost_Naira]]),"High","Normal")</f>
        <v>Normal</v>
      </c>
    </row>
    <row r="223" spans="1:29" x14ac:dyDescent="0.25">
      <c r="A223" t="s">
        <v>347</v>
      </c>
      <c r="B223" t="s">
        <v>58</v>
      </c>
      <c r="C223" t="s">
        <v>59</v>
      </c>
      <c r="D223" t="s">
        <v>32</v>
      </c>
      <c r="E223" s="3">
        <v>45791</v>
      </c>
      <c r="F223" s="3">
        <v>45793</v>
      </c>
      <c r="G223">
        <v>2.6</v>
      </c>
      <c r="H223">
        <v>63</v>
      </c>
      <c r="I223" t="s">
        <v>43</v>
      </c>
      <c r="J223" t="s">
        <v>61</v>
      </c>
      <c r="K223" t="s">
        <v>95</v>
      </c>
      <c r="L223" t="s">
        <v>291</v>
      </c>
      <c r="M223" t="s">
        <v>37</v>
      </c>
      <c r="N223" t="s">
        <v>38</v>
      </c>
      <c r="O223">
        <v>22</v>
      </c>
      <c r="P223">
        <v>30</v>
      </c>
      <c r="Q223">
        <v>0.73329999999999995</v>
      </c>
      <c r="R223">
        <v>400</v>
      </c>
      <c r="S223" s="1">
        <v>1040</v>
      </c>
      <c r="T223" t="s">
        <v>136</v>
      </c>
      <c r="U223" t="s">
        <v>137</v>
      </c>
      <c r="V223" s="1">
        <v>2518.02</v>
      </c>
      <c r="W223" s="2">
        <f>Merged_Clinical_Finance_Data[[#This Row],[Occupied_Beds]]/Merged_Clinical_Finance_Data[[#This Row],[Total_Beds]]</f>
        <v>0.73333333333333328</v>
      </c>
      <c r="X223">
        <f>IF(Merged_Clinical_Finance_Data[[#This Row],[30Day_Readmission]]="Yes",1,0)</f>
        <v>0</v>
      </c>
      <c r="Y223" t="str" cm="1">
        <f t="array" ref="Y22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23" t="str" cm="1">
        <f t="array" ref="Z223">_xlfn.IFS(Merged_Clinical_Finance_Data[[#This Row],[Length_of_Stay_Days]]&lt;3,"Short (&lt;3)",Merged_Clinical_Finance_Data[[#This Row],[Length_of_Stay_Days]]&lt;=7,"Medium (3-7)",TRUE,"Long (&gt;7)")</f>
        <v>Short (&lt;3)</v>
      </c>
      <c r="AA223" s="3">
        <f>EOMONTH(Merged_Clinical_Finance_Data[[#This Row],[Admission_Date]],-1)+1</f>
        <v>45778</v>
      </c>
      <c r="AB223" s="1">
        <f>Merged_Clinical_Finance_Data[[#This Row],[Daily_Bed_Cost_GBP]]*Merged_Clinical_Finance_Data[[#This Row],[Length_of_Stay_Days]]</f>
        <v>1040</v>
      </c>
      <c r="AC223" t="str">
        <f>IF(Merged_Clinical_Finance_Data[[#This Row],[Total_Encounter_Cost_Naira]]&gt;AVERAGE(Merged_Clinical_Finance_Data[[#This Row],[Total_Encounter_Cost_Naira]]),"High","Normal")</f>
        <v>Normal</v>
      </c>
    </row>
    <row r="224" spans="1:29" x14ac:dyDescent="0.25">
      <c r="A224" t="s">
        <v>348</v>
      </c>
      <c r="B224" t="s">
        <v>30</v>
      </c>
      <c r="C224" t="s">
        <v>31</v>
      </c>
      <c r="D224" t="s">
        <v>42</v>
      </c>
      <c r="E224" s="3">
        <v>46004</v>
      </c>
      <c r="F224" s="3">
        <v>46006</v>
      </c>
      <c r="G224">
        <v>2.4</v>
      </c>
      <c r="H224">
        <v>64</v>
      </c>
      <c r="I224" t="s">
        <v>43</v>
      </c>
      <c r="J224" t="s">
        <v>61</v>
      </c>
      <c r="K224" t="s">
        <v>45</v>
      </c>
      <c r="L224" t="s">
        <v>36</v>
      </c>
      <c r="M224" t="s">
        <v>47</v>
      </c>
      <c r="N224" t="s">
        <v>38</v>
      </c>
      <c r="O224">
        <v>28</v>
      </c>
      <c r="P224">
        <v>30</v>
      </c>
      <c r="Q224">
        <v>0.93330000000000002</v>
      </c>
      <c r="R224">
        <v>425</v>
      </c>
      <c r="S224" s="1">
        <v>1020</v>
      </c>
      <c r="T224" t="s">
        <v>111</v>
      </c>
      <c r="U224" t="s">
        <v>112</v>
      </c>
      <c r="V224" s="1">
        <v>1038.26</v>
      </c>
      <c r="W224" s="2">
        <f>Merged_Clinical_Finance_Data[[#This Row],[Occupied_Beds]]/Merged_Clinical_Finance_Data[[#This Row],[Total_Beds]]</f>
        <v>0.93333333333333335</v>
      </c>
      <c r="X224">
        <f>IF(Merged_Clinical_Finance_Data[[#This Row],[30Day_Readmission]]="Yes",1,0)</f>
        <v>0</v>
      </c>
      <c r="Y224" t="str" cm="1">
        <f t="array" ref="Y22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24" t="str" cm="1">
        <f t="array" ref="Z224">_xlfn.IFS(Merged_Clinical_Finance_Data[[#This Row],[Length_of_Stay_Days]]&lt;3,"Short (&lt;3)",Merged_Clinical_Finance_Data[[#This Row],[Length_of_Stay_Days]]&lt;=7,"Medium (3-7)",TRUE,"Long (&gt;7)")</f>
        <v>Short (&lt;3)</v>
      </c>
      <c r="AA224" s="3">
        <f>EOMONTH(Merged_Clinical_Finance_Data[[#This Row],[Admission_Date]],-1)+1</f>
        <v>45992</v>
      </c>
      <c r="AB224" s="1">
        <f>Merged_Clinical_Finance_Data[[#This Row],[Daily_Bed_Cost_GBP]]*Merged_Clinical_Finance_Data[[#This Row],[Length_of_Stay_Days]]</f>
        <v>1020</v>
      </c>
      <c r="AC224" t="str">
        <f>IF(Merged_Clinical_Finance_Data[[#This Row],[Total_Encounter_Cost_Naira]]&gt;AVERAGE(Merged_Clinical_Finance_Data[[#This Row],[Total_Encounter_Cost_Naira]]),"High","Normal")</f>
        <v>Normal</v>
      </c>
    </row>
    <row r="225" spans="1:29" x14ac:dyDescent="0.25">
      <c r="A225" t="s">
        <v>349</v>
      </c>
      <c r="B225" t="s">
        <v>67</v>
      </c>
      <c r="C225" t="s">
        <v>68</v>
      </c>
      <c r="D225" t="s">
        <v>60</v>
      </c>
      <c r="E225" s="3">
        <v>45818</v>
      </c>
      <c r="F225" s="3">
        <v>45820</v>
      </c>
      <c r="G225">
        <v>2</v>
      </c>
      <c r="H225">
        <v>70</v>
      </c>
      <c r="I225" t="s">
        <v>33</v>
      </c>
      <c r="J225" t="s">
        <v>51</v>
      </c>
      <c r="K225" t="s">
        <v>69</v>
      </c>
      <c r="L225" t="s">
        <v>167</v>
      </c>
      <c r="M225" t="s">
        <v>54</v>
      </c>
      <c r="N225" t="s">
        <v>38</v>
      </c>
      <c r="O225">
        <v>26</v>
      </c>
      <c r="P225">
        <v>30</v>
      </c>
      <c r="Q225">
        <v>0.86670000000000003</v>
      </c>
      <c r="R225">
        <v>510</v>
      </c>
      <c r="S225" s="1">
        <v>1020</v>
      </c>
      <c r="T225" t="s">
        <v>55</v>
      </c>
      <c r="U225" t="s">
        <v>56</v>
      </c>
      <c r="V225" s="1">
        <v>1107.48</v>
      </c>
      <c r="W225" s="2">
        <f>Merged_Clinical_Finance_Data[[#This Row],[Occupied_Beds]]/Merged_Clinical_Finance_Data[[#This Row],[Total_Beds]]</f>
        <v>0.8666666666666667</v>
      </c>
      <c r="X225">
        <f>IF(Merged_Clinical_Finance_Data[[#This Row],[30Day_Readmission]]="Yes",1,0)</f>
        <v>0</v>
      </c>
      <c r="Y225" t="str" cm="1">
        <f t="array" ref="Y22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225" t="str" cm="1">
        <f t="array" ref="Z225">_xlfn.IFS(Merged_Clinical_Finance_Data[[#This Row],[Length_of_Stay_Days]]&lt;3,"Short (&lt;3)",Merged_Clinical_Finance_Data[[#This Row],[Length_of_Stay_Days]]&lt;=7,"Medium (3-7)",TRUE,"Long (&gt;7)")</f>
        <v>Short (&lt;3)</v>
      </c>
      <c r="AA225" s="3">
        <f>EOMONTH(Merged_Clinical_Finance_Data[[#This Row],[Admission_Date]],-1)+1</f>
        <v>45809</v>
      </c>
      <c r="AB225" s="1">
        <f>Merged_Clinical_Finance_Data[[#This Row],[Daily_Bed_Cost_GBP]]*Merged_Clinical_Finance_Data[[#This Row],[Length_of_Stay_Days]]</f>
        <v>1020</v>
      </c>
      <c r="AC225" t="str">
        <f>IF(Merged_Clinical_Finance_Data[[#This Row],[Total_Encounter_Cost_Naira]]&gt;AVERAGE(Merged_Clinical_Finance_Data[[#This Row],[Total_Encounter_Cost_Naira]]),"High","Normal")</f>
        <v>Normal</v>
      </c>
    </row>
    <row r="226" spans="1:29" x14ac:dyDescent="0.25">
      <c r="A226" t="s">
        <v>350</v>
      </c>
      <c r="B226" t="s">
        <v>79</v>
      </c>
      <c r="C226" t="s">
        <v>80</v>
      </c>
      <c r="D226" t="s">
        <v>42</v>
      </c>
      <c r="E226" s="3">
        <v>45871</v>
      </c>
      <c r="F226" s="3">
        <v>45875</v>
      </c>
      <c r="G226">
        <v>4.5</v>
      </c>
      <c r="H226">
        <v>74</v>
      </c>
      <c r="I226" t="s">
        <v>33</v>
      </c>
      <c r="J226" t="s">
        <v>51</v>
      </c>
      <c r="K226" t="s">
        <v>82</v>
      </c>
      <c r="L226" t="s">
        <v>88</v>
      </c>
      <c r="M226" t="s">
        <v>54</v>
      </c>
      <c r="N226" t="s">
        <v>38</v>
      </c>
      <c r="O226">
        <v>16</v>
      </c>
      <c r="P226">
        <v>30</v>
      </c>
      <c r="Q226">
        <v>0.5333</v>
      </c>
      <c r="R226">
        <v>425</v>
      </c>
      <c r="S226" s="1">
        <v>1912.5</v>
      </c>
      <c r="T226" t="s">
        <v>89</v>
      </c>
      <c r="U226" t="s">
        <v>90</v>
      </c>
      <c r="V226" s="1">
        <v>5415.87</v>
      </c>
      <c r="W226" s="2">
        <f>Merged_Clinical_Finance_Data[[#This Row],[Occupied_Beds]]/Merged_Clinical_Finance_Data[[#This Row],[Total_Beds]]</f>
        <v>0.53333333333333333</v>
      </c>
      <c r="X226">
        <f>IF(Merged_Clinical_Finance_Data[[#This Row],[30Day_Readmission]]="Yes",1,0)</f>
        <v>0</v>
      </c>
      <c r="Y226" t="str" cm="1">
        <f t="array" ref="Y22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226" t="str" cm="1">
        <f t="array" ref="Z226">_xlfn.IFS(Merged_Clinical_Finance_Data[[#This Row],[Length_of_Stay_Days]]&lt;3,"Short (&lt;3)",Merged_Clinical_Finance_Data[[#This Row],[Length_of_Stay_Days]]&lt;=7,"Medium (3-7)",TRUE,"Long (&gt;7)")</f>
        <v>Medium (3-7)</v>
      </c>
      <c r="AA226" s="3">
        <f>EOMONTH(Merged_Clinical_Finance_Data[[#This Row],[Admission_Date]],-1)+1</f>
        <v>45870</v>
      </c>
      <c r="AB226" s="1">
        <f>Merged_Clinical_Finance_Data[[#This Row],[Daily_Bed_Cost_GBP]]*Merged_Clinical_Finance_Data[[#This Row],[Length_of_Stay_Days]]</f>
        <v>1912.5</v>
      </c>
      <c r="AC226" t="str">
        <f>IF(Merged_Clinical_Finance_Data[[#This Row],[Total_Encounter_Cost_Naira]]&gt;AVERAGE(Merged_Clinical_Finance_Data[[#This Row],[Total_Encounter_Cost_Naira]]),"High","Normal")</f>
        <v>Normal</v>
      </c>
    </row>
    <row r="227" spans="1:29" x14ac:dyDescent="0.25">
      <c r="A227" t="s">
        <v>351</v>
      </c>
      <c r="B227" t="s">
        <v>114</v>
      </c>
      <c r="C227" t="s">
        <v>115</v>
      </c>
      <c r="D227" t="s">
        <v>42</v>
      </c>
      <c r="E227" s="3">
        <v>46009</v>
      </c>
      <c r="F227" s="3">
        <v>46011</v>
      </c>
      <c r="G227">
        <v>2.5</v>
      </c>
      <c r="H227">
        <v>49</v>
      </c>
      <c r="I227" t="s">
        <v>43</v>
      </c>
      <c r="J227" t="s">
        <v>51</v>
      </c>
      <c r="K227" t="s">
        <v>132</v>
      </c>
      <c r="L227" t="s">
        <v>139</v>
      </c>
      <c r="M227" t="s">
        <v>47</v>
      </c>
      <c r="N227" t="s">
        <v>38</v>
      </c>
      <c r="O227">
        <v>18</v>
      </c>
      <c r="P227">
        <v>30</v>
      </c>
      <c r="Q227">
        <v>0.6</v>
      </c>
      <c r="R227">
        <v>425</v>
      </c>
      <c r="S227" s="1">
        <v>1062.5</v>
      </c>
      <c r="T227" t="s">
        <v>64</v>
      </c>
      <c r="U227" t="s">
        <v>65</v>
      </c>
      <c r="V227" s="1">
        <v>1779.31</v>
      </c>
      <c r="W227" s="2">
        <f>Merged_Clinical_Finance_Data[[#This Row],[Occupied_Beds]]/Merged_Clinical_Finance_Data[[#This Row],[Total_Beds]]</f>
        <v>0.6</v>
      </c>
      <c r="X227">
        <f>IF(Merged_Clinical_Finance_Data[[#This Row],[30Day_Readmission]]="Yes",1,0)</f>
        <v>0</v>
      </c>
      <c r="Y227" t="str" cm="1">
        <f t="array" ref="Y22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27" t="str" cm="1">
        <f t="array" ref="Z227">_xlfn.IFS(Merged_Clinical_Finance_Data[[#This Row],[Length_of_Stay_Days]]&lt;3,"Short (&lt;3)",Merged_Clinical_Finance_Data[[#This Row],[Length_of_Stay_Days]]&lt;=7,"Medium (3-7)",TRUE,"Long (&gt;7)")</f>
        <v>Short (&lt;3)</v>
      </c>
      <c r="AA227" s="3">
        <f>EOMONTH(Merged_Clinical_Finance_Data[[#This Row],[Admission_Date]],-1)+1</f>
        <v>45992</v>
      </c>
      <c r="AB227" s="1">
        <f>Merged_Clinical_Finance_Data[[#This Row],[Daily_Bed_Cost_GBP]]*Merged_Clinical_Finance_Data[[#This Row],[Length_of_Stay_Days]]</f>
        <v>1062.5</v>
      </c>
      <c r="AC227" t="str">
        <f>IF(Merged_Clinical_Finance_Data[[#This Row],[Total_Encounter_Cost_Naira]]&gt;AVERAGE(Merged_Clinical_Finance_Data[[#This Row],[Total_Encounter_Cost_Naira]]),"High","Normal")</f>
        <v>Normal</v>
      </c>
    </row>
    <row r="228" spans="1:29" x14ac:dyDescent="0.25">
      <c r="A228" t="s">
        <v>352</v>
      </c>
      <c r="B228" t="s">
        <v>114</v>
      </c>
      <c r="C228" t="s">
        <v>115</v>
      </c>
      <c r="D228" t="s">
        <v>32</v>
      </c>
      <c r="E228" s="3">
        <v>45791</v>
      </c>
      <c r="F228" s="3">
        <v>45796</v>
      </c>
      <c r="G228">
        <v>5.8</v>
      </c>
      <c r="H228">
        <v>46</v>
      </c>
      <c r="I228" t="s">
        <v>33</v>
      </c>
      <c r="J228" t="s">
        <v>51</v>
      </c>
      <c r="K228" t="s">
        <v>132</v>
      </c>
      <c r="L228" t="s">
        <v>223</v>
      </c>
      <c r="M228" t="s">
        <v>47</v>
      </c>
      <c r="N228" t="s">
        <v>38</v>
      </c>
      <c r="O228">
        <v>26</v>
      </c>
      <c r="P228">
        <v>30</v>
      </c>
      <c r="Q228">
        <v>0.86670000000000003</v>
      </c>
      <c r="R228">
        <v>480</v>
      </c>
      <c r="S228" s="1">
        <v>2784</v>
      </c>
      <c r="T228" t="s">
        <v>96</v>
      </c>
      <c r="U228" t="s">
        <v>97</v>
      </c>
      <c r="V228" s="1">
        <v>2705.35</v>
      </c>
      <c r="W228" s="2">
        <f>Merged_Clinical_Finance_Data[[#This Row],[Occupied_Beds]]/Merged_Clinical_Finance_Data[[#This Row],[Total_Beds]]</f>
        <v>0.8666666666666667</v>
      </c>
      <c r="X228">
        <f>IF(Merged_Clinical_Finance_Data[[#This Row],[30Day_Readmission]]="Yes",1,0)</f>
        <v>0</v>
      </c>
      <c r="Y228" t="str" cm="1">
        <f t="array" ref="Y22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28" t="str" cm="1">
        <f t="array" ref="Z228">_xlfn.IFS(Merged_Clinical_Finance_Data[[#This Row],[Length_of_Stay_Days]]&lt;3,"Short (&lt;3)",Merged_Clinical_Finance_Data[[#This Row],[Length_of_Stay_Days]]&lt;=7,"Medium (3-7)",TRUE,"Long (&gt;7)")</f>
        <v>Medium (3-7)</v>
      </c>
      <c r="AA228" s="3">
        <f>EOMONTH(Merged_Clinical_Finance_Data[[#This Row],[Admission_Date]],-1)+1</f>
        <v>45778</v>
      </c>
      <c r="AB228" s="1">
        <f>Merged_Clinical_Finance_Data[[#This Row],[Daily_Bed_Cost_GBP]]*Merged_Clinical_Finance_Data[[#This Row],[Length_of_Stay_Days]]</f>
        <v>2784</v>
      </c>
      <c r="AC228" t="str">
        <f>IF(Merged_Clinical_Finance_Data[[#This Row],[Total_Encounter_Cost_Naira]]&gt;AVERAGE(Merged_Clinical_Finance_Data[[#This Row],[Total_Encounter_Cost_Naira]]),"High","Normal")</f>
        <v>Normal</v>
      </c>
    </row>
    <row r="229" spans="1:29" x14ac:dyDescent="0.25">
      <c r="A229" t="s">
        <v>353</v>
      </c>
      <c r="B229" t="s">
        <v>30</v>
      </c>
      <c r="C229" t="s">
        <v>31</v>
      </c>
      <c r="D229" t="s">
        <v>42</v>
      </c>
      <c r="E229" s="3">
        <v>45685</v>
      </c>
      <c r="F229" s="3">
        <v>45688</v>
      </c>
      <c r="G229">
        <v>3.8</v>
      </c>
      <c r="H229">
        <v>56</v>
      </c>
      <c r="I229" t="s">
        <v>33</v>
      </c>
      <c r="J229" t="s">
        <v>51</v>
      </c>
      <c r="K229" t="s">
        <v>35</v>
      </c>
      <c r="L229" t="s">
        <v>36</v>
      </c>
      <c r="M229" t="s">
        <v>47</v>
      </c>
      <c r="N229" t="s">
        <v>38</v>
      </c>
      <c r="O229">
        <v>13</v>
      </c>
      <c r="P229">
        <v>30</v>
      </c>
      <c r="Q229">
        <v>0.43330000000000002</v>
      </c>
      <c r="R229">
        <v>425</v>
      </c>
      <c r="S229" s="1">
        <v>1615</v>
      </c>
      <c r="T229" t="s">
        <v>136</v>
      </c>
      <c r="U229" t="s">
        <v>137</v>
      </c>
      <c r="V229" s="1">
        <v>1905.52</v>
      </c>
      <c r="W229" s="2">
        <f>Merged_Clinical_Finance_Data[[#This Row],[Occupied_Beds]]/Merged_Clinical_Finance_Data[[#This Row],[Total_Beds]]</f>
        <v>0.43333333333333335</v>
      </c>
      <c r="X229">
        <f>IF(Merged_Clinical_Finance_Data[[#This Row],[30Day_Readmission]]="Yes",1,0)</f>
        <v>0</v>
      </c>
      <c r="Y229" t="str" cm="1">
        <f t="array" ref="Y22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29" t="str" cm="1">
        <f t="array" ref="Z229">_xlfn.IFS(Merged_Clinical_Finance_Data[[#This Row],[Length_of_Stay_Days]]&lt;3,"Short (&lt;3)",Merged_Clinical_Finance_Data[[#This Row],[Length_of_Stay_Days]]&lt;=7,"Medium (3-7)",TRUE,"Long (&gt;7)")</f>
        <v>Medium (3-7)</v>
      </c>
      <c r="AA229" s="3">
        <f>EOMONTH(Merged_Clinical_Finance_Data[[#This Row],[Admission_Date]],-1)+1</f>
        <v>45658</v>
      </c>
      <c r="AB229" s="1">
        <f>Merged_Clinical_Finance_Data[[#This Row],[Daily_Bed_Cost_GBP]]*Merged_Clinical_Finance_Data[[#This Row],[Length_of_Stay_Days]]</f>
        <v>1615</v>
      </c>
      <c r="AC229" t="str">
        <f>IF(Merged_Clinical_Finance_Data[[#This Row],[Total_Encounter_Cost_Naira]]&gt;AVERAGE(Merged_Clinical_Finance_Data[[#This Row],[Total_Encounter_Cost_Naira]]),"High","Normal")</f>
        <v>Normal</v>
      </c>
    </row>
    <row r="230" spans="1:29" x14ac:dyDescent="0.25">
      <c r="A230" t="s">
        <v>354</v>
      </c>
      <c r="B230" t="s">
        <v>107</v>
      </c>
      <c r="C230" t="s">
        <v>108</v>
      </c>
      <c r="D230" t="s">
        <v>60</v>
      </c>
      <c r="E230" s="3">
        <v>45760</v>
      </c>
      <c r="F230" s="3">
        <v>45765</v>
      </c>
      <c r="G230">
        <v>5.8</v>
      </c>
      <c r="H230">
        <v>84</v>
      </c>
      <c r="I230" t="s">
        <v>33</v>
      </c>
      <c r="J230" t="s">
        <v>44</v>
      </c>
      <c r="K230" t="s">
        <v>158</v>
      </c>
      <c r="L230" t="s">
        <v>121</v>
      </c>
      <c r="M230" t="s">
        <v>54</v>
      </c>
      <c r="N230" t="s">
        <v>38</v>
      </c>
      <c r="O230">
        <v>24</v>
      </c>
      <c r="P230">
        <v>30</v>
      </c>
      <c r="Q230">
        <v>0.8</v>
      </c>
      <c r="R230">
        <v>350</v>
      </c>
      <c r="S230" s="1">
        <v>2030</v>
      </c>
      <c r="T230" t="s">
        <v>39</v>
      </c>
      <c r="U230" t="s">
        <v>40</v>
      </c>
      <c r="V230" s="1">
        <v>3033.98</v>
      </c>
      <c r="W230" s="2">
        <f>Merged_Clinical_Finance_Data[[#This Row],[Occupied_Beds]]/Merged_Clinical_Finance_Data[[#This Row],[Total_Beds]]</f>
        <v>0.8</v>
      </c>
      <c r="X230">
        <f>IF(Merged_Clinical_Finance_Data[[#This Row],[30Day_Readmission]]="Yes",1,0)</f>
        <v>0</v>
      </c>
      <c r="Y230" t="str" cm="1">
        <f t="array" ref="Y23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230" t="str" cm="1">
        <f t="array" ref="Z230">_xlfn.IFS(Merged_Clinical_Finance_Data[[#This Row],[Length_of_Stay_Days]]&lt;3,"Short (&lt;3)",Merged_Clinical_Finance_Data[[#This Row],[Length_of_Stay_Days]]&lt;=7,"Medium (3-7)",TRUE,"Long (&gt;7)")</f>
        <v>Medium (3-7)</v>
      </c>
      <c r="AA230" s="3">
        <f>EOMONTH(Merged_Clinical_Finance_Data[[#This Row],[Admission_Date]],-1)+1</f>
        <v>45748</v>
      </c>
      <c r="AB230" s="1">
        <f>Merged_Clinical_Finance_Data[[#This Row],[Daily_Bed_Cost_GBP]]*Merged_Clinical_Finance_Data[[#This Row],[Length_of_Stay_Days]]</f>
        <v>2030</v>
      </c>
      <c r="AC230" t="str">
        <f>IF(Merged_Clinical_Finance_Data[[#This Row],[Total_Encounter_Cost_Naira]]&gt;AVERAGE(Merged_Clinical_Finance_Data[[#This Row],[Total_Encounter_Cost_Naira]]),"High","Normal")</f>
        <v>Normal</v>
      </c>
    </row>
    <row r="231" spans="1:29" x14ac:dyDescent="0.25">
      <c r="A231" t="s">
        <v>355</v>
      </c>
      <c r="B231" t="s">
        <v>107</v>
      </c>
      <c r="C231" t="s">
        <v>108</v>
      </c>
      <c r="D231" t="s">
        <v>32</v>
      </c>
      <c r="E231" s="3">
        <v>45906</v>
      </c>
      <c r="F231" s="3">
        <v>45908</v>
      </c>
      <c r="G231">
        <v>2.2000000000000002</v>
      </c>
      <c r="H231">
        <v>60</v>
      </c>
      <c r="I231" t="s">
        <v>33</v>
      </c>
      <c r="J231" t="s">
        <v>73</v>
      </c>
      <c r="K231" t="s">
        <v>158</v>
      </c>
      <c r="L231" t="s">
        <v>129</v>
      </c>
      <c r="M231" t="s">
        <v>47</v>
      </c>
      <c r="N231" t="s">
        <v>38</v>
      </c>
      <c r="O231">
        <v>24</v>
      </c>
      <c r="P231">
        <v>30</v>
      </c>
      <c r="Q231">
        <v>0.8</v>
      </c>
      <c r="R231">
        <v>375</v>
      </c>
      <c r="S231" s="1">
        <v>825</v>
      </c>
      <c r="T231" t="s">
        <v>55</v>
      </c>
      <c r="U231" t="s">
        <v>56</v>
      </c>
      <c r="V231" s="1">
        <v>1142.43</v>
      </c>
      <c r="W231" s="2">
        <f>Merged_Clinical_Finance_Data[[#This Row],[Occupied_Beds]]/Merged_Clinical_Finance_Data[[#This Row],[Total_Beds]]</f>
        <v>0.8</v>
      </c>
      <c r="X231">
        <f>IF(Merged_Clinical_Finance_Data[[#This Row],[30Day_Readmission]]="Yes",1,0)</f>
        <v>0</v>
      </c>
      <c r="Y231" t="str" cm="1">
        <f t="array" ref="Y23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31" t="str" cm="1">
        <f t="array" ref="Z231">_xlfn.IFS(Merged_Clinical_Finance_Data[[#This Row],[Length_of_Stay_Days]]&lt;3,"Short (&lt;3)",Merged_Clinical_Finance_Data[[#This Row],[Length_of_Stay_Days]]&lt;=7,"Medium (3-7)",TRUE,"Long (&gt;7)")</f>
        <v>Short (&lt;3)</v>
      </c>
      <c r="AA231" s="3">
        <f>EOMONTH(Merged_Clinical_Finance_Data[[#This Row],[Admission_Date]],-1)+1</f>
        <v>45901</v>
      </c>
      <c r="AB231" s="1">
        <f>Merged_Clinical_Finance_Data[[#This Row],[Daily_Bed_Cost_GBP]]*Merged_Clinical_Finance_Data[[#This Row],[Length_of_Stay_Days]]</f>
        <v>825.00000000000011</v>
      </c>
      <c r="AC231" t="str">
        <f>IF(Merged_Clinical_Finance_Data[[#This Row],[Total_Encounter_Cost_Naira]]&gt;AVERAGE(Merged_Clinical_Finance_Data[[#This Row],[Total_Encounter_Cost_Naira]]),"High","Normal")</f>
        <v>Normal</v>
      </c>
    </row>
    <row r="232" spans="1:29" x14ac:dyDescent="0.25">
      <c r="A232" t="s">
        <v>356</v>
      </c>
      <c r="B232" t="s">
        <v>30</v>
      </c>
      <c r="C232" t="s">
        <v>31</v>
      </c>
      <c r="D232" t="s">
        <v>42</v>
      </c>
      <c r="E232" s="3">
        <v>45767</v>
      </c>
      <c r="F232" s="3">
        <v>45775</v>
      </c>
      <c r="G232">
        <v>8.5</v>
      </c>
      <c r="H232">
        <v>36</v>
      </c>
      <c r="I232" t="s">
        <v>33</v>
      </c>
      <c r="J232" t="s">
        <v>73</v>
      </c>
      <c r="K232" t="s">
        <v>35</v>
      </c>
      <c r="L232" t="s">
        <v>92</v>
      </c>
      <c r="M232" t="s">
        <v>47</v>
      </c>
      <c r="N232" t="s">
        <v>38</v>
      </c>
      <c r="O232">
        <v>16</v>
      </c>
      <c r="P232">
        <v>30</v>
      </c>
      <c r="Q232">
        <v>0.5333</v>
      </c>
      <c r="R232">
        <v>350</v>
      </c>
      <c r="S232" s="1">
        <v>2975</v>
      </c>
      <c r="T232" t="s">
        <v>55</v>
      </c>
      <c r="U232" t="s">
        <v>56</v>
      </c>
      <c r="V232" s="1">
        <v>316.63</v>
      </c>
      <c r="W232" s="2">
        <f>Merged_Clinical_Finance_Data[[#This Row],[Occupied_Beds]]/Merged_Clinical_Finance_Data[[#This Row],[Total_Beds]]</f>
        <v>0.53333333333333333</v>
      </c>
      <c r="X232">
        <f>IF(Merged_Clinical_Finance_Data[[#This Row],[30Day_Readmission]]="Yes",1,0)</f>
        <v>0</v>
      </c>
      <c r="Y232" t="str" cm="1">
        <f t="array" ref="Y23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32" t="str" cm="1">
        <f t="array" ref="Z232">_xlfn.IFS(Merged_Clinical_Finance_Data[[#This Row],[Length_of_Stay_Days]]&lt;3,"Short (&lt;3)",Merged_Clinical_Finance_Data[[#This Row],[Length_of_Stay_Days]]&lt;=7,"Medium (3-7)",TRUE,"Long (&gt;7)")</f>
        <v>Long (&gt;7)</v>
      </c>
      <c r="AA232" s="3">
        <f>EOMONTH(Merged_Clinical_Finance_Data[[#This Row],[Admission_Date]],-1)+1</f>
        <v>45748</v>
      </c>
      <c r="AB232" s="1">
        <f>Merged_Clinical_Finance_Data[[#This Row],[Daily_Bed_Cost_GBP]]*Merged_Clinical_Finance_Data[[#This Row],[Length_of_Stay_Days]]</f>
        <v>2975</v>
      </c>
      <c r="AC232" t="str">
        <f>IF(Merged_Clinical_Finance_Data[[#This Row],[Total_Encounter_Cost_Naira]]&gt;AVERAGE(Merged_Clinical_Finance_Data[[#This Row],[Total_Encounter_Cost_Naira]]),"High","Normal")</f>
        <v>Normal</v>
      </c>
    </row>
    <row r="233" spans="1:29" x14ac:dyDescent="0.25">
      <c r="A233" t="s">
        <v>357</v>
      </c>
      <c r="B233" t="s">
        <v>58</v>
      </c>
      <c r="C233" t="s">
        <v>59</v>
      </c>
      <c r="D233" t="s">
        <v>42</v>
      </c>
      <c r="E233" s="3">
        <v>45788</v>
      </c>
      <c r="F233" s="3">
        <v>45793</v>
      </c>
      <c r="G233">
        <v>5.6</v>
      </c>
      <c r="H233">
        <v>28</v>
      </c>
      <c r="I233" t="s">
        <v>33</v>
      </c>
      <c r="J233" t="s">
        <v>81</v>
      </c>
      <c r="K233" t="s">
        <v>62</v>
      </c>
      <c r="L233" t="s">
        <v>119</v>
      </c>
      <c r="M233" t="s">
        <v>47</v>
      </c>
      <c r="N233" t="s">
        <v>38</v>
      </c>
      <c r="O233">
        <v>19</v>
      </c>
      <c r="P233">
        <v>30</v>
      </c>
      <c r="Q233">
        <v>0.63329999999999997</v>
      </c>
      <c r="R233">
        <v>510</v>
      </c>
      <c r="S233" s="1">
        <v>2856</v>
      </c>
      <c r="T233" t="s">
        <v>84</v>
      </c>
      <c r="U233" t="s">
        <v>85</v>
      </c>
      <c r="V233" s="1">
        <v>5463.18</v>
      </c>
      <c r="W233" s="2">
        <f>Merged_Clinical_Finance_Data[[#This Row],[Occupied_Beds]]/Merged_Clinical_Finance_Data[[#This Row],[Total_Beds]]</f>
        <v>0.6333333333333333</v>
      </c>
      <c r="X233">
        <f>IF(Merged_Clinical_Finance_Data[[#This Row],[30Day_Readmission]]="Yes",1,0)</f>
        <v>0</v>
      </c>
      <c r="Y233" t="str" cm="1">
        <f t="array" ref="Y23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33" t="str" cm="1">
        <f t="array" ref="Z233">_xlfn.IFS(Merged_Clinical_Finance_Data[[#This Row],[Length_of_Stay_Days]]&lt;3,"Short (&lt;3)",Merged_Clinical_Finance_Data[[#This Row],[Length_of_Stay_Days]]&lt;=7,"Medium (3-7)",TRUE,"Long (&gt;7)")</f>
        <v>Medium (3-7)</v>
      </c>
      <c r="AA233" s="3">
        <f>EOMONTH(Merged_Clinical_Finance_Data[[#This Row],[Admission_Date]],-1)+1</f>
        <v>45778</v>
      </c>
      <c r="AB233" s="1">
        <f>Merged_Clinical_Finance_Data[[#This Row],[Daily_Bed_Cost_GBP]]*Merged_Clinical_Finance_Data[[#This Row],[Length_of_Stay_Days]]</f>
        <v>2856</v>
      </c>
      <c r="AC233" t="str">
        <f>IF(Merged_Clinical_Finance_Data[[#This Row],[Total_Encounter_Cost_Naira]]&gt;AVERAGE(Merged_Clinical_Finance_Data[[#This Row],[Total_Encounter_Cost_Naira]]),"High","Normal")</f>
        <v>Normal</v>
      </c>
    </row>
    <row r="234" spans="1:29" x14ac:dyDescent="0.25">
      <c r="A234" t="s">
        <v>358</v>
      </c>
      <c r="B234" t="s">
        <v>107</v>
      </c>
      <c r="C234" t="s">
        <v>108</v>
      </c>
      <c r="D234" t="s">
        <v>42</v>
      </c>
      <c r="E234" s="3">
        <v>45858</v>
      </c>
      <c r="F234" s="3">
        <v>45863</v>
      </c>
      <c r="G234">
        <v>5.0999999999999996</v>
      </c>
      <c r="H234">
        <v>57</v>
      </c>
      <c r="I234" t="s">
        <v>33</v>
      </c>
      <c r="J234" t="s">
        <v>44</v>
      </c>
      <c r="K234" t="s">
        <v>158</v>
      </c>
      <c r="L234" t="s">
        <v>193</v>
      </c>
      <c r="M234" t="s">
        <v>47</v>
      </c>
      <c r="N234" t="s">
        <v>38</v>
      </c>
      <c r="O234">
        <v>13</v>
      </c>
      <c r="P234">
        <v>30</v>
      </c>
      <c r="Q234">
        <v>0.43330000000000002</v>
      </c>
      <c r="R234">
        <v>450</v>
      </c>
      <c r="S234" s="1">
        <v>2295</v>
      </c>
      <c r="T234" t="s">
        <v>96</v>
      </c>
      <c r="U234" t="s">
        <v>97</v>
      </c>
      <c r="V234" s="1">
        <v>2586.62</v>
      </c>
      <c r="W234" s="2">
        <f>Merged_Clinical_Finance_Data[[#This Row],[Occupied_Beds]]/Merged_Clinical_Finance_Data[[#This Row],[Total_Beds]]</f>
        <v>0.43333333333333335</v>
      </c>
      <c r="X234">
        <f>IF(Merged_Clinical_Finance_Data[[#This Row],[30Day_Readmission]]="Yes",1,0)</f>
        <v>0</v>
      </c>
      <c r="Y234" t="str" cm="1">
        <f t="array" ref="Y23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34" t="str" cm="1">
        <f t="array" ref="Z234">_xlfn.IFS(Merged_Clinical_Finance_Data[[#This Row],[Length_of_Stay_Days]]&lt;3,"Short (&lt;3)",Merged_Clinical_Finance_Data[[#This Row],[Length_of_Stay_Days]]&lt;=7,"Medium (3-7)",TRUE,"Long (&gt;7)")</f>
        <v>Medium (3-7)</v>
      </c>
      <c r="AA234" s="3">
        <f>EOMONTH(Merged_Clinical_Finance_Data[[#This Row],[Admission_Date]],-1)+1</f>
        <v>45839</v>
      </c>
      <c r="AB234" s="1">
        <f>Merged_Clinical_Finance_Data[[#This Row],[Daily_Bed_Cost_GBP]]*Merged_Clinical_Finance_Data[[#This Row],[Length_of_Stay_Days]]</f>
        <v>2295</v>
      </c>
      <c r="AC234" t="str">
        <f>IF(Merged_Clinical_Finance_Data[[#This Row],[Total_Encounter_Cost_Naira]]&gt;AVERAGE(Merged_Clinical_Finance_Data[[#This Row],[Total_Encounter_Cost_Naira]]),"High","Normal")</f>
        <v>Normal</v>
      </c>
    </row>
    <row r="235" spans="1:29" x14ac:dyDescent="0.25">
      <c r="A235" t="s">
        <v>359</v>
      </c>
      <c r="B235" t="s">
        <v>114</v>
      </c>
      <c r="C235" t="s">
        <v>115</v>
      </c>
      <c r="D235" t="s">
        <v>42</v>
      </c>
      <c r="E235" s="3">
        <v>45791</v>
      </c>
      <c r="F235" s="3">
        <v>45796</v>
      </c>
      <c r="G235">
        <v>5.7</v>
      </c>
      <c r="H235">
        <v>19</v>
      </c>
      <c r="I235" t="s">
        <v>43</v>
      </c>
      <c r="J235" t="s">
        <v>34</v>
      </c>
      <c r="K235" t="s">
        <v>132</v>
      </c>
      <c r="L235" t="s">
        <v>223</v>
      </c>
      <c r="M235" t="s">
        <v>47</v>
      </c>
      <c r="N235" t="s">
        <v>71</v>
      </c>
      <c r="O235">
        <v>27</v>
      </c>
      <c r="P235">
        <v>30</v>
      </c>
      <c r="Q235">
        <v>0.9</v>
      </c>
      <c r="R235">
        <v>350</v>
      </c>
      <c r="S235" s="1">
        <v>1995</v>
      </c>
      <c r="T235" t="s">
        <v>64</v>
      </c>
      <c r="U235" t="s">
        <v>65</v>
      </c>
      <c r="V235" s="1">
        <v>2472.36</v>
      </c>
      <c r="W235" s="2">
        <f>Merged_Clinical_Finance_Data[[#This Row],[Occupied_Beds]]/Merged_Clinical_Finance_Data[[#This Row],[Total_Beds]]</f>
        <v>0.9</v>
      </c>
      <c r="X235">
        <f>IF(Merged_Clinical_Finance_Data[[#This Row],[30Day_Readmission]]="Yes",1,0)</f>
        <v>1</v>
      </c>
      <c r="Y235" t="str" cm="1">
        <f t="array" ref="Y23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35" t="str" cm="1">
        <f t="array" ref="Z235">_xlfn.IFS(Merged_Clinical_Finance_Data[[#This Row],[Length_of_Stay_Days]]&lt;3,"Short (&lt;3)",Merged_Clinical_Finance_Data[[#This Row],[Length_of_Stay_Days]]&lt;=7,"Medium (3-7)",TRUE,"Long (&gt;7)")</f>
        <v>Medium (3-7)</v>
      </c>
      <c r="AA235" s="3">
        <f>EOMONTH(Merged_Clinical_Finance_Data[[#This Row],[Admission_Date]],-1)+1</f>
        <v>45778</v>
      </c>
      <c r="AB235" s="1">
        <f>Merged_Clinical_Finance_Data[[#This Row],[Daily_Bed_Cost_GBP]]*Merged_Clinical_Finance_Data[[#This Row],[Length_of_Stay_Days]]</f>
        <v>1995</v>
      </c>
      <c r="AC235" t="str">
        <f>IF(Merged_Clinical_Finance_Data[[#This Row],[Total_Encounter_Cost_Naira]]&gt;AVERAGE(Merged_Clinical_Finance_Data[[#This Row],[Total_Encounter_Cost_Naira]]),"High","Normal")</f>
        <v>Normal</v>
      </c>
    </row>
    <row r="236" spans="1:29" x14ac:dyDescent="0.25">
      <c r="A236" t="s">
        <v>360</v>
      </c>
      <c r="B236" t="s">
        <v>58</v>
      </c>
      <c r="C236" t="s">
        <v>59</v>
      </c>
      <c r="D236" t="s">
        <v>32</v>
      </c>
      <c r="E236" s="3">
        <v>45835</v>
      </c>
      <c r="F236" s="3">
        <v>45838</v>
      </c>
      <c r="G236">
        <v>3.7</v>
      </c>
      <c r="H236">
        <v>51</v>
      </c>
      <c r="I236" t="s">
        <v>33</v>
      </c>
      <c r="J236" t="s">
        <v>51</v>
      </c>
      <c r="K236" t="s">
        <v>95</v>
      </c>
      <c r="L236" t="s">
        <v>291</v>
      </c>
      <c r="M236" t="s">
        <v>47</v>
      </c>
      <c r="N236" t="s">
        <v>38</v>
      </c>
      <c r="O236">
        <v>27</v>
      </c>
      <c r="P236">
        <v>30</v>
      </c>
      <c r="Q236">
        <v>0.9</v>
      </c>
      <c r="R236">
        <v>400</v>
      </c>
      <c r="S236" s="1">
        <v>1480</v>
      </c>
      <c r="T236" t="s">
        <v>89</v>
      </c>
      <c r="U236" t="s">
        <v>90</v>
      </c>
      <c r="V236" s="1">
        <v>7404.97</v>
      </c>
      <c r="W236" s="2">
        <f>Merged_Clinical_Finance_Data[[#This Row],[Occupied_Beds]]/Merged_Clinical_Finance_Data[[#This Row],[Total_Beds]]</f>
        <v>0.9</v>
      </c>
      <c r="X236">
        <f>IF(Merged_Clinical_Finance_Data[[#This Row],[30Day_Readmission]]="Yes",1,0)</f>
        <v>0</v>
      </c>
      <c r="Y236" t="str" cm="1">
        <f t="array" ref="Y23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36" t="str" cm="1">
        <f t="array" ref="Z236">_xlfn.IFS(Merged_Clinical_Finance_Data[[#This Row],[Length_of_Stay_Days]]&lt;3,"Short (&lt;3)",Merged_Clinical_Finance_Data[[#This Row],[Length_of_Stay_Days]]&lt;=7,"Medium (3-7)",TRUE,"Long (&gt;7)")</f>
        <v>Medium (3-7)</v>
      </c>
      <c r="AA236" s="3">
        <f>EOMONTH(Merged_Clinical_Finance_Data[[#This Row],[Admission_Date]],-1)+1</f>
        <v>45809</v>
      </c>
      <c r="AB236" s="1">
        <f>Merged_Clinical_Finance_Data[[#This Row],[Daily_Bed_Cost_GBP]]*Merged_Clinical_Finance_Data[[#This Row],[Length_of_Stay_Days]]</f>
        <v>1480</v>
      </c>
      <c r="AC236" t="str">
        <f>IF(Merged_Clinical_Finance_Data[[#This Row],[Total_Encounter_Cost_Naira]]&gt;AVERAGE(Merged_Clinical_Finance_Data[[#This Row],[Total_Encounter_Cost_Naira]]),"High","Normal")</f>
        <v>Normal</v>
      </c>
    </row>
    <row r="237" spans="1:29" x14ac:dyDescent="0.25">
      <c r="A237" t="s">
        <v>361</v>
      </c>
      <c r="B237" t="s">
        <v>49</v>
      </c>
      <c r="C237" t="s">
        <v>50</v>
      </c>
      <c r="D237" t="s">
        <v>60</v>
      </c>
      <c r="E237" s="3">
        <v>45885</v>
      </c>
      <c r="F237" s="3">
        <v>45894</v>
      </c>
      <c r="G237">
        <v>9.4</v>
      </c>
      <c r="H237">
        <v>38</v>
      </c>
      <c r="I237" t="s">
        <v>33</v>
      </c>
      <c r="J237" t="s">
        <v>81</v>
      </c>
      <c r="K237" t="s">
        <v>143</v>
      </c>
      <c r="L237" t="s">
        <v>150</v>
      </c>
      <c r="M237" t="s">
        <v>37</v>
      </c>
      <c r="N237" t="s">
        <v>38</v>
      </c>
      <c r="O237">
        <v>16</v>
      </c>
      <c r="P237">
        <v>30</v>
      </c>
      <c r="Q237">
        <v>0.5333</v>
      </c>
      <c r="R237">
        <v>350</v>
      </c>
      <c r="S237" s="1">
        <v>3290</v>
      </c>
      <c r="T237" t="s">
        <v>89</v>
      </c>
      <c r="U237" t="s">
        <v>90</v>
      </c>
      <c r="V237" s="1">
        <v>2565.8000000000002</v>
      </c>
      <c r="W237" s="2">
        <f>Merged_Clinical_Finance_Data[[#This Row],[Occupied_Beds]]/Merged_Clinical_Finance_Data[[#This Row],[Total_Beds]]</f>
        <v>0.53333333333333333</v>
      </c>
      <c r="X237">
        <f>IF(Merged_Clinical_Finance_Data[[#This Row],[30Day_Readmission]]="Yes",1,0)</f>
        <v>0</v>
      </c>
      <c r="Y237" t="str" cm="1">
        <f t="array" ref="Y23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37" t="str" cm="1">
        <f t="array" ref="Z237">_xlfn.IFS(Merged_Clinical_Finance_Data[[#This Row],[Length_of_Stay_Days]]&lt;3,"Short (&lt;3)",Merged_Clinical_Finance_Data[[#This Row],[Length_of_Stay_Days]]&lt;=7,"Medium (3-7)",TRUE,"Long (&gt;7)")</f>
        <v>Long (&gt;7)</v>
      </c>
      <c r="AA237" s="3">
        <f>EOMONTH(Merged_Clinical_Finance_Data[[#This Row],[Admission_Date]],-1)+1</f>
        <v>45870</v>
      </c>
      <c r="AB237" s="1">
        <f>Merged_Clinical_Finance_Data[[#This Row],[Daily_Bed_Cost_GBP]]*Merged_Clinical_Finance_Data[[#This Row],[Length_of_Stay_Days]]</f>
        <v>3290</v>
      </c>
      <c r="AC237" t="str">
        <f>IF(Merged_Clinical_Finance_Data[[#This Row],[Total_Encounter_Cost_Naira]]&gt;AVERAGE(Merged_Clinical_Finance_Data[[#This Row],[Total_Encounter_Cost_Naira]]),"High","Normal")</f>
        <v>Normal</v>
      </c>
    </row>
    <row r="238" spans="1:29" x14ac:dyDescent="0.25">
      <c r="A238" t="s">
        <v>362</v>
      </c>
      <c r="B238" t="s">
        <v>102</v>
      </c>
      <c r="C238" t="s">
        <v>103</v>
      </c>
      <c r="D238" t="s">
        <v>60</v>
      </c>
      <c r="E238" s="3">
        <v>45793</v>
      </c>
      <c r="F238" s="3">
        <v>45794</v>
      </c>
      <c r="G238">
        <v>1.4</v>
      </c>
      <c r="H238">
        <v>79</v>
      </c>
      <c r="I238" t="s">
        <v>43</v>
      </c>
      <c r="J238" t="s">
        <v>61</v>
      </c>
      <c r="K238" t="s">
        <v>104</v>
      </c>
      <c r="L238" t="s">
        <v>209</v>
      </c>
      <c r="M238" t="s">
        <v>74</v>
      </c>
      <c r="N238" t="s">
        <v>38</v>
      </c>
      <c r="O238">
        <v>25</v>
      </c>
      <c r="P238">
        <v>30</v>
      </c>
      <c r="Q238">
        <v>0.83330000000000004</v>
      </c>
      <c r="R238">
        <v>375</v>
      </c>
      <c r="S238" s="1">
        <v>525</v>
      </c>
      <c r="T238" t="s">
        <v>111</v>
      </c>
      <c r="U238" t="s">
        <v>112</v>
      </c>
      <c r="V238" s="1">
        <v>1193.05</v>
      </c>
      <c r="W238" s="2">
        <f>Merged_Clinical_Finance_Data[[#This Row],[Occupied_Beds]]/Merged_Clinical_Finance_Data[[#This Row],[Total_Beds]]</f>
        <v>0.83333333333333337</v>
      </c>
      <c r="X238">
        <f>IF(Merged_Clinical_Finance_Data[[#This Row],[30Day_Readmission]]="Yes",1,0)</f>
        <v>0</v>
      </c>
      <c r="Y238" t="str" cm="1">
        <f t="array" ref="Y23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238" t="str" cm="1">
        <f t="array" ref="Z238">_xlfn.IFS(Merged_Clinical_Finance_Data[[#This Row],[Length_of_Stay_Days]]&lt;3,"Short (&lt;3)",Merged_Clinical_Finance_Data[[#This Row],[Length_of_Stay_Days]]&lt;=7,"Medium (3-7)",TRUE,"Long (&gt;7)")</f>
        <v>Short (&lt;3)</v>
      </c>
      <c r="AA238" s="3">
        <f>EOMONTH(Merged_Clinical_Finance_Data[[#This Row],[Admission_Date]],-1)+1</f>
        <v>45778</v>
      </c>
      <c r="AB238" s="1">
        <f>Merged_Clinical_Finance_Data[[#This Row],[Daily_Bed_Cost_GBP]]*Merged_Clinical_Finance_Data[[#This Row],[Length_of_Stay_Days]]</f>
        <v>525</v>
      </c>
      <c r="AC238" t="str">
        <f>IF(Merged_Clinical_Finance_Data[[#This Row],[Total_Encounter_Cost_Naira]]&gt;AVERAGE(Merged_Clinical_Finance_Data[[#This Row],[Total_Encounter_Cost_Naira]]),"High","Normal")</f>
        <v>Normal</v>
      </c>
    </row>
    <row r="239" spans="1:29" x14ac:dyDescent="0.25">
      <c r="A239" t="s">
        <v>363</v>
      </c>
      <c r="B239" t="s">
        <v>67</v>
      </c>
      <c r="C239" t="s">
        <v>68</v>
      </c>
      <c r="D239" t="s">
        <v>32</v>
      </c>
      <c r="E239" s="3">
        <v>45760</v>
      </c>
      <c r="F239" s="3">
        <v>45764</v>
      </c>
      <c r="G239">
        <v>4.5999999999999996</v>
      </c>
      <c r="H239">
        <v>25</v>
      </c>
      <c r="I239" t="s">
        <v>43</v>
      </c>
      <c r="J239" t="s">
        <v>73</v>
      </c>
      <c r="K239" t="s">
        <v>76</v>
      </c>
      <c r="L239" t="s">
        <v>176</v>
      </c>
      <c r="M239" t="s">
        <v>47</v>
      </c>
      <c r="N239" t="s">
        <v>38</v>
      </c>
      <c r="O239">
        <v>28</v>
      </c>
      <c r="P239">
        <v>30</v>
      </c>
      <c r="Q239">
        <v>0.93330000000000002</v>
      </c>
      <c r="R239">
        <v>480</v>
      </c>
      <c r="S239" s="1">
        <v>2208</v>
      </c>
      <c r="T239" t="s">
        <v>84</v>
      </c>
      <c r="U239" t="s">
        <v>85</v>
      </c>
      <c r="V239" s="1">
        <v>3922.34</v>
      </c>
      <c r="W239" s="2">
        <f>Merged_Clinical_Finance_Data[[#This Row],[Occupied_Beds]]/Merged_Clinical_Finance_Data[[#This Row],[Total_Beds]]</f>
        <v>0.93333333333333335</v>
      </c>
      <c r="X239">
        <f>IF(Merged_Clinical_Finance_Data[[#This Row],[30Day_Readmission]]="Yes",1,0)</f>
        <v>0</v>
      </c>
      <c r="Y239" t="str" cm="1">
        <f t="array" ref="Y23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39" t="str" cm="1">
        <f t="array" ref="Z239">_xlfn.IFS(Merged_Clinical_Finance_Data[[#This Row],[Length_of_Stay_Days]]&lt;3,"Short (&lt;3)",Merged_Clinical_Finance_Data[[#This Row],[Length_of_Stay_Days]]&lt;=7,"Medium (3-7)",TRUE,"Long (&gt;7)")</f>
        <v>Medium (3-7)</v>
      </c>
      <c r="AA239" s="3">
        <f>EOMONTH(Merged_Clinical_Finance_Data[[#This Row],[Admission_Date]],-1)+1</f>
        <v>45748</v>
      </c>
      <c r="AB239" s="1">
        <f>Merged_Clinical_Finance_Data[[#This Row],[Daily_Bed_Cost_GBP]]*Merged_Clinical_Finance_Data[[#This Row],[Length_of_Stay_Days]]</f>
        <v>2208</v>
      </c>
      <c r="AC239" t="str">
        <f>IF(Merged_Clinical_Finance_Data[[#This Row],[Total_Encounter_Cost_Naira]]&gt;AVERAGE(Merged_Clinical_Finance_Data[[#This Row],[Total_Encounter_Cost_Naira]]),"High","Normal")</f>
        <v>Normal</v>
      </c>
    </row>
    <row r="240" spans="1:29" x14ac:dyDescent="0.25">
      <c r="A240" t="s">
        <v>364</v>
      </c>
      <c r="B240" t="s">
        <v>49</v>
      </c>
      <c r="C240" t="s">
        <v>50</v>
      </c>
      <c r="D240" t="s">
        <v>42</v>
      </c>
      <c r="E240" s="3">
        <v>45861</v>
      </c>
      <c r="F240" s="3">
        <v>45871</v>
      </c>
      <c r="G240">
        <v>10.4</v>
      </c>
      <c r="H240">
        <v>32</v>
      </c>
      <c r="I240" t="s">
        <v>43</v>
      </c>
      <c r="J240" t="s">
        <v>34</v>
      </c>
      <c r="K240" t="s">
        <v>52</v>
      </c>
      <c r="L240" t="s">
        <v>126</v>
      </c>
      <c r="M240" t="s">
        <v>74</v>
      </c>
      <c r="N240" t="s">
        <v>38</v>
      </c>
      <c r="O240">
        <v>17</v>
      </c>
      <c r="P240">
        <v>30</v>
      </c>
      <c r="Q240">
        <v>0.56669999999999998</v>
      </c>
      <c r="R240">
        <v>375</v>
      </c>
      <c r="S240" s="1">
        <v>3900</v>
      </c>
      <c r="T240" t="s">
        <v>55</v>
      </c>
      <c r="U240" t="s">
        <v>56</v>
      </c>
      <c r="V240" s="1">
        <v>1139.75</v>
      </c>
      <c r="W240" s="2">
        <f>Merged_Clinical_Finance_Data[[#This Row],[Occupied_Beds]]/Merged_Clinical_Finance_Data[[#This Row],[Total_Beds]]</f>
        <v>0.56666666666666665</v>
      </c>
      <c r="X240">
        <f>IF(Merged_Clinical_Finance_Data[[#This Row],[30Day_Readmission]]="Yes",1,0)</f>
        <v>0</v>
      </c>
      <c r="Y240" t="str" cm="1">
        <f t="array" ref="Y24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40" t="str" cm="1">
        <f t="array" ref="Z240">_xlfn.IFS(Merged_Clinical_Finance_Data[[#This Row],[Length_of_Stay_Days]]&lt;3,"Short (&lt;3)",Merged_Clinical_Finance_Data[[#This Row],[Length_of_Stay_Days]]&lt;=7,"Medium (3-7)",TRUE,"Long (&gt;7)")</f>
        <v>Long (&gt;7)</v>
      </c>
      <c r="AA240" s="3">
        <f>EOMONTH(Merged_Clinical_Finance_Data[[#This Row],[Admission_Date]],-1)+1</f>
        <v>45839</v>
      </c>
      <c r="AB240" s="1">
        <f>Merged_Clinical_Finance_Data[[#This Row],[Daily_Bed_Cost_GBP]]*Merged_Clinical_Finance_Data[[#This Row],[Length_of_Stay_Days]]</f>
        <v>3900</v>
      </c>
      <c r="AC240" t="str">
        <f>IF(Merged_Clinical_Finance_Data[[#This Row],[Total_Encounter_Cost_Naira]]&gt;AVERAGE(Merged_Clinical_Finance_Data[[#This Row],[Total_Encounter_Cost_Naira]]),"High","Normal")</f>
        <v>Normal</v>
      </c>
    </row>
    <row r="241" spans="1:29" x14ac:dyDescent="0.25">
      <c r="A241" t="s">
        <v>365</v>
      </c>
      <c r="B241" t="s">
        <v>107</v>
      </c>
      <c r="C241" t="s">
        <v>108</v>
      </c>
      <c r="D241" t="s">
        <v>42</v>
      </c>
      <c r="E241" s="3">
        <v>45727</v>
      </c>
      <c r="F241" s="3">
        <v>45730</v>
      </c>
      <c r="G241">
        <v>3.9</v>
      </c>
      <c r="H241">
        <v>52</v>
      </c>
      <c r="I241" t="s">
        <v>43</v>
      </c>
      <c r="J241" t="s">
        <v>73</v>
      </c>
      <c r="K241" t="s">
        <v>109</v>
      </c>
      <c r="L241" t="s">
        <v>110</v>
      </c>
      <c r="M241" t="s">
        <v>37</v>
      </c>
      <c r="N241" t="s">
        <v>38</v>
      </c>
      <c r="O241">
        <v>24</v>
      </c>
      <c r="P241">
        <v>30</v>
      </c>
      <c r="Q241">
        <v>0.8</v>
      </c>
      <c r="R241">
        <v>400</v>
      </c>
      <c r="S241" s="1">
        <v>1560</v>
      </c>
      <c r="T241" t="s">
        <v>64</v>
      </c>
      <c r="U241" t="s">
        <v>65</v>
      </c>
      <c r="V241" s="1">
        <v>2055.06</v>
      </c>
      <c r="W241" s="2">
        <f>Merged_Clinical_Finance_Data[[#This Row],[Occupied_Beds]]/Merged_Clinical_Finance_Data[[#This Row],[Total_Beds]]</f>
        <v>0.8</v>
      </c>
      <c r="X241">
        <f>IF(Merged_Clinical_Finance_Data[[#This Row],[30Day_Readmission]]="Yes",1,0)</f>
        <v>0</v>
      </c>
      <c r="Y241" t="str" cm="1">
        <f t="array" ref="Y24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41" t="str" cm="1">
        <f t="array" ref="Z241">_xlfn.IFS(Merged_Clinical_Finance_Data[[#This Row],[Length_of_Stay_Days]]&lt;3,"Short (&lt;3)",Merged_Clinical_Finance_Data[[#This Row],[Length_of_Stay_Days]]&lt;=7,"Medium (3-7)",TRUE,"Long (&gt;7)")</f>
        <v>Medium (3-7)</v>
      </c>
      <c r="AA241" s="3">
        <f>EOMONTH(Merged_Clinical_Finance_Data[[#This Row],[Admission_Date]],-1)+1</f>
        <v>45717</v>
      </c>
      <c r="AB241" s="1">
        <f>Merged_Clinical_Finance_Data[[#This Row],[Daily_Bed_Cost_GBP]]*Merged_Clinical_Finance_Data[[#This Row],[Length_of_Stay_Days]]</f>
        <v>1560</v>
      </c>
      <c r="AC241" t="str">
        <f>IF(Merged_Clinical_Finance_Data[[#This Row],[Total_Encounter_Cost_Naira]]&gt;AVERAGE(Merged_Clinical_Finance_Data[[#This Row],[Total_Encounter_Cost_Naira]]),"High","Normal")</f>
        <v>Normal</v>
      </c>
    </row>
    <row r="242" spans="1:29" x14ac:dyDescent="0.25">
      <c r="A242" t="s">
        <v>366</v>
      </c>
      <c r="B242" t="s">
        <v>79</v>
      </c>
      <c r="C242" t="s">
        <v>80</v>
      </c>
      <c r="D242" t="s">
        <v>42</v>
      </c>
      <c r="E242" s="3">
        <v>45862</v>
      </c>
      <c r="F242" s="3">
        <v>45864</v>
      </c>
      <c r="G242">
        <v>2.8</v>
      </c>
      <c r="H242">
        <v>21</v>
      </c>
      <c r="I242" t="s">
        <v>43</v>
      </c>
      <c r="J242" t="s">
        <v>51</v>
      </c>
      <c r="K242" t="s">
        <v>87</v>
      </c>
      <c r="L242" t="s">
        <v>88</v>
      </c>
      <c r="M242" t="s">
        <v>47</v>
      </c>
      <c r="N242" t="s">
        <v>38</v>
      </c>
      <c r="O242">
        <v>22</v>
      </c>
      <c r="P242">
        <v>30</v>
      </c>
      <c r="Q242">
        <v>0.73329999999999995</v>
      </c>
      <c r="R242">
        <v>450</v>
      </c>
      <c r="S242" s="1">
        <v>1260</v>
      </c>
      <c r="T242" t="s">
        <v>111</v>
      </c>
      <c r="U242" t="s">
        <v>112</v>
      </c>
      <c r="V242" s="1">
        <v>1618.99</v>
      </c>
      <c r="W242" s="2">
        <f>Merged_Clinical_Finance_Data[[#This Row],[Occupied_Beds]]/Merged_Clinical_Finance_Data[[#This Row],[Total_Beds]]</f>
        <v>0.73333333333333328</v>
      </c>
      <c r="X242">
        <f>IF(Merged_Clinical_Finance_Data[[#This Row],[30Day_Readmission]]="Yes",1,0)</f>
        <v>0</v>
      </c>
      <c r="Y242" t="str" cm="1">
        <f t="array" ref="Y24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42" t="str" cm="1">
        <f t="array" ref="Z242">_xlfn.IFS(Merged_Clinical_Finance_Data[[#This Row],[Length_of_Stay_Days]]&lt;3,"Short (&lt;3)",Merged_Clinical_Finance_Data[[#This Row],[Length_of_Stay_Days]]&lt;=7,"Medium (3-7)",TRUE,"Long (&gt;7)")</f>
        <v>Short (&lt;3)</v>
      </c>
      <c r="AA242" s="3">
        <f>EOMONTH(Merged_Clinical_Finance_Data[[#This Row],[Admission_Date]],-1)+1</f>
        <v>45839</v>
      </c>
      <c r="AB242" s="1">
        <f>Merged_Clinical_Finance_Data[[#This Row],[Daily_Bed_Cost_GBP]]*Merged_Clinical_Finance_Data[[#This Row],[Length_of_Stay_Days]]</f>
        <v>1260</v>
      </c>
      <c r="AC242" t="str">
        <f>IF(Merged_Clinical_Finance_Data[[#This Row],[Total_Encounter_Cost_Naira]]&gt;AVERAGE(Merged_Clinical_Finance_Data[[#This Row],[Total_Encounter_Cost_Naira]]),"High","Normal")</f>
        <v>Normal</v>
      </c>
    </row>
    <row r="243" spans="1:29" x14ac:dyDescent="0.25">
      <c r="A243" t="s">
        <v>367</v>
      </c>
      <c r="B243" t="s">
        <v>79</v>
      </c>
      <c r="C243" t="s">
        <v>80</v>
      </c>
      <c r="D243" t="s">
        <v>42</v>
      </c>
      <c r="E243" s="3">
        <v>45787</v>
      </c>
      <c r="F243" s="3">
        <v>45789</v>
      </c>
      <c r="G243">
        <v>2.8</v>
      </c>
      <c r="H243">
        <v>31</v>
      </c>
      <c r="I243" t="s">
        <v>43</v>
      </c>
      <c r="J243" t="s">
        <v>51</v>
      </c>
      <c r="K243" t="s">
        <v>82</v>
      </c>
      <c r="L243" t="s">
        <v>83</v>
      </c>
      <c r="M243" t="s">
        <v>47</v>
      </c>
      <c r="N243" t="s">
        <v>71</v>
      </c>
      <c r="O243">
        <v>30</v>
      </c>
      <c r="P243">
        <v>30</v>
      </c>
      <c r="Q243">
        <v>1</v>
      </c>
      <c r="R243">
        <v>450</v>
      </c>
      <c r="S243" s="1">
        <v>1260</v>
      </c>
      <c r="T243" t="s">
        <v>84</v>
      </c>
      <c r="U243" t="s">
        <v>85</v>
      </c>
      <c r="V243" s="1">
        <v>3209.86</v>
      </c>
      <c r="W243" s="2">
        <f>Merged_Clinical_Finance_Data[[#This Row],[Occupied_Beds]]/Merged_Clinical_Finance_Data[[#This Row],[Total_Beds]]</f>
        <v>1</v>
      </c>
      <c r="X243">
        <f>IF(Merged_Clinical_Finance_Data[[#This Row],[30Day_Readmission]]="Yes",1,0)</f>
        <v>1</v>
      </c>
      <c r="Y243" t="str" cm="1">
        <f t="array" ref="Y24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43" t="str" cm="1">
        <f t="array" ref="Z243">_xlfn.IFS(Merged_Clinical_Finance_Data[[#This Row],[Length_of_Stay_Days]]&lt;3,"Short (&lt;3)",Merged_Clinical_Finance_Data[[#This Row],[Length_of_Stay_Days]]&lt;=7,"Medium (3-7)",TRUE,"Long (&gt;7)")</f>
        <v>Short (&lt;3)</v>
      </c>
      <c r="AA243" s="3">
        <f>EOMONTH(Merged_Clinical_Finance_Data[[#This Row],[Admission_Date]],-1)+1</f>
        <v>45778</v>
      </c>
      <c r="AB243" s="1">
        <f>Merged_Clinical_Finance_Data[[#This Row],[Daily_Bed_Cost_GBP]]*Merged_Clinical_Finance_Data[[#This Row],[Length_of_Stay_Days]]</f>
        <v>1260</v>
      </c>
      <c r="AC243" t="str">
        <f>IF(Merged_Clinical_Finance_Data[[#This Row],[Total_Encounter_Cost_Naira]]&gt;AVERAGE(Merged_Clinical_Finance_Data[[#This Row],[Total_Encounter_Cost_Naira]]),"High","Normal")</f>
        <v>Normal</v>
      </c>
    </row>
    <row r="244" spans="1:29" x14ac:dyDescent="0.25">
      <c r="A244" t="s">
        <v>368</v>
      </c>
      <c r="B244" t="s">
        <v>79</v>
      </c>
      <c r="C244" t="s">
        <v>80</v>
      </c>
      <c r="D244" t="s">
        <v>32</v>
      </c>
      <c r="E244" s="3">
        <v>45776</v>
      </c>
      <c r="F244" s="3">
        <v>45780</v>
      </c>
      <c r="G244">
        <v>4.0999999999999996</v>
      </c>
      <c r="H244">
        <v>84</v>
      </c>
      <c r="I244" t="s">
        <v>43</v>
      </c>
      <c r="J244" t="s">
        <v>34</v>
      </c>
      <c r="K244" t="s">
        <v>87</v>
      </c>
      <c r="L244" t="s">
        <v>99</v>
      </c>
      <c r="M244" t="s">
        <v>74</v>
      </c>
      <c r="N244" t="s">
        <v>38</v>
      </c>
      <c r="O244">
        <v>22</v>
      </c>
      <c r="P244">
        <v>30</v>
      </c>
      <c r="Q244">
        <v>0.73329999999999995</v>
      </c>
      <c r="R244">
        <v>375</v>
      </c>
      <c r="S244" s="1">
        <v>1537.5</v>
      </c>
      <c r="T244" t="s">
        <v>84</v>
      </c>
      <c r="U244" t="s">
        <v>85</v>
      </c>
      <c r="V244" s="1">
        <v>2237.14</v>
      </c>
      <c r="W244" s="2">
        <f>Merged_Clinical_Finance_Data[[#This Row],[Occupied_Beds]]/Merged_Clinical_Finance_Data[[#This Row],[Total_Beds]]</f>
        <v>0.73333333333333328</v>
      </c>
      <c r="X244">
        <f>IF(Merged_Clinical_Finance_Data[[#This Row],[30Day_Readmission]]="Yes",1,0)</f>
        <v>0</v>
      </c>
      <c r="Y244" t="str" cm="1">
        <f t="array" ref="Y24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244" t="str" cm="1">
        <f t="array" ref="Z244">_xlfn.IFS(Merged_Clinical_Finance_Data[[#This Row],[Length_of_Stay_Days]]&lt;3,"Short (&lt;3)",Merged_Clinical_Finance_Data[[#This Row],[Length_of_Stay_Days]]&lt;=7,"Medium (3-7)",TRUE,"Long (&gt;7)")</f>
        <v>Medium (3-7)</v>
      </c>
      <c r="AA244" s="3">
        <f>EOMONTH(Merged_Clinical_Finance_Data[[#This Row],[Admission_Date]],-1)+1</f>
        <v>45748</v>
      </c>
      <c r="AB244" s="1">
        <f>Merged_Clinical_Finance_Data[[#This Row],[Daily_Bed_Cost_GBP]]*Merged_Clinical_Finance_Data[[#This Row],[Length_of_Stay_Days]]</f>
        <v>1537.4999999999998</v>
      </c>
      <c r="AC244" t="str">
        <f>IF(Merged_Clinical_Finance_Data[[#This Row],[Total_Encounter_Cost_Naira]]&gt;AVERAGE(Merged_Clinical_Finance_Data[[#This Row],[Total_Encounter_Cost_Naira]]),"High","Normal")</f>
        <v>Normal</v>
      </c>
    </row>
    <row r="245" spans="1:29" x14ac:dyDescent="0.25">
      <c r="A245" t="s">
        <v>369</v>
      </c>
      <c r="B245" t="s">
        <v>30</v>
      </c>
      <c r="C245" t="s">
        <v>31</v>
      </c>
      <c r="D245" t="s">
        <v>42</v>
      </c>
      <c r="E245" s="3">
        <v>45993</v>
      </c>
      <c r="F245" s="3">
        <v>46000</v>
      </c>
      <c r="G245">
        <v>7.8</v>
      </c>
      <c r="H245">
        <v>51</v>
      </c>
      <c r="I245" t="s">
        <v>33</v>
      </c>
      <c r="J245" t="s">
        <v>51</v>
      </c>
      <c r="K245" t="s">
        <v>35</v>
      </c>
      <c r="L245" t="s">
        <v>36</v>
      </c>
      <c r="M245" t="s">
        <v>54</v>
      </c>
      <c r="N245" t="s">
        <v>38</v>
      </c>
      <c r="O245">
        <v>30</v>
      </c>
      <c r="P245">
        <v>30</v>
      </c>
      <c r="Q245">
        <v>1</v>
      </c>
      <c r="R245">
        <v>400</v>
      </c>
      <c r="S245" s="1">
        <v>3120</v>
      </c>
      <c r="T245" t="s">
        <v>64</v>
      </c>
      <c r="U245" t="s">
        <v>65</v>
      </c>
      <c r="V245" s="1">
        <v>2166.3200000000002</v>
      </c>
      <c r="W245" s="2">
        <f>Merged_Clinical_Finance_Data[[#This Row],[Occupied_Beds]]/Merged_Clinical_Finance_Data[[#This Row],[Total_Beds]]</f>
        <v>1</v>
      </c>
      <c r="X245">
        <f>IF(Merged_Clinical_Finance_Data[[#This Row],[30Day_Readmission]]="Yes",1,0)</f>
        <v>0</v>
      </c>
      <c r="Y245" t="str" cm="1">
        <f t="array" ref="Y24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45" t="str" cm="1">
        <f t="array" ref="Z245">_xlfn.IFS(Merged_Clinical_Finance_Data[[#This Row],[Length_of_Stay_Days]]&lt;3,"Short (&lt;3)",Merged_Clinical_Finance_Data[[#This Row],[Length_of_Stay_Days]]&lt;=7,"Medium (3-7)",TRUE,"Long (&gt;7)")</f>
        <v>Long (&gt;7)</v>
      </c>
      <c r="AA245" s="3">
        <f>EOMONTH(Merged_Clinical_Finance_Data[[#This Row],[Admission_Date]],-1)+1</f>
        <v>45992</v>
      </c>
      <c r="AB245" s="1">
        <f>Merged_Clinical_Finance_Data[[#This Row],[Daily_Bed_Cost_GBP]]*Merged_Clinical_Finance_Data[[#This Row],[Length_of_Stay_Days]]</f>
        <v>3120</v>
      </c>
      <c r="AC245" t="str">
        <f>IF(Merged_Clinical_Finance_Data[[#This Row],[Total_Encounter_Cost_Naira]]&gt;AVERAGE(Merged_Clinical_Finance_Data[[#This Row],[Total_Encounter_Cost_Naira]]),"High","Normal")</f>
        <v>Normal</v>
      </c>
    </row>
    <row r="246" spans="1:29" x14ac:dyDescent="0.25">
      <c r="A246" t="s">
        <v>370</v>
      </c>
      <c r="B246" t="s">
        <v>58</v>
      </c>
      <c r="C246" t="s">
        <v>59</v>
      </c>
      <c r="D246" t="s">
        <v>42</v>
      </c>
      <c r="E246" s="3">
        <v>45875</v>
      </c>
      <c r="F246" s="3">
        <v>45878</v>
      </c>
      <c r="G246">
        <v>3.5</v>
      </c>
      <c r="H246">
        <v>22</v>
      </c>
      <c r="I246" t="s">
        <v>43</v>
      </c>
      <c r="J246" t="s">
        <v>51</v>
      </c>
      <c r="K246" t="s">
        <v>95</v>
      </c>
      <c r="L246" t="s">
        <v>119</v>
      </c>
      <c r="M246" t="s">
        <v>37</v>
      </c>
      <c r="N246" t="s">
        <v>38</v>
      </c>
      <c r="O246">
        <v>23</v>
      </c>
      <c r="P246">
        <v>30</v>
      </c>
      <c r="Q246">
        <v>0.76670000000000005</v>
      </c>
      <c r="R246">
        <v>425</v>
      </c>
      <c r="S246" s="1">
        <v>1487.5</v>
      </c>
      <c r="T246" t="s">
        <v>64</v>
      </c>
      <c r="U246" t="s">
        <v>65</v>
      </c>
      <c r="V246" s="1">
        <v>1284.08</v>
      </c>
      <c r="W246" s="2">
        <f>Merged_Clinical_Finance_Data[[#This Row],[Occupied_Beds]]/Merged_Clinical_Finance_Data[[#This Row],[Total_Beds]]</f>
        <v>0.76666666666666672</v>
      </c>
      <c r="X246">
        <f>IF(Merged_Clinical_Finance_Data[[#This Row],[30Day_Readmission]]="Yes",1,0)</f>
        <v>0</v>
      </c>
      <c r="Y246" t="str" cm="1">
        <f t="array" ref="Y24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46" t="str" cm="1">
        <f t="array" ref="Z246">_xlfn.IFS(Merged_Clinical_Finance_Data[[#This Row],[Length_of_Stay_Days]]&lt;3,"Short (&lt;3)",Merged_Clinical_Finance_Data[[#This Row],[Length_of_Stay_Days]]&lt;=7,"Medium (3-7)",TRUE,"Long (&gt;7)")</f>
        <v>Medium (3-7)</v>
      </c>
      <c r="AA246" s="3">
        <f>EOMONTH(Merged_Clinical_Finance_Data[[#This Row],[Admission_Date]],-1)+1</f>
        <v>45870</v>
      </c>
      <c r="AB246" s="1">
        <f>Merged_Clinical_Finance_Data[[#This Row],[Daily_Bed_Cost_GBP]]*Merged_Clinical_Finance_Data[[#This Row],[Length_of_Stay_Days]]</f>
        <v>1487.5</v>
      </c>
      <c r="AC246" t="str">
        <f>IF(Merged_Clinical_Finance_Data[[#This Row],[Total_Encounter_Cost_Naira]]&gt;AVERAGE(Merged_Clinical_Finance_Data[[#This Row],[Total_Encounter_Cost_Naira]]),"High","Normal")</f>
        <v>Normal</v>
      </c>
    </row>
    <row r="247" spans="1:29" x14ac:dyDescent="0.25">
      <c r="A247" t="s">
        <v>371</v>
      </c>
      <c r="B247" t="s">
        <v>107</v>
      </c>
      <c r="C247" t="s">
        <v>108</v>
      </c>
      <c r="D247" t="s">
        <v>32</v>
      </c>
      <c r="E247" s="3">
        <v>45974</v>
      </c>
      <c r="F247" s="3">
        <v>45976</v>
      </c>
      <c r="G247">
        <v>2.8</v>
      </c>
      <c r="H247">
        <v>51</v>
      </c>
      <c r="I247" t="s">
        <v>33</v>
      </c>
      <c r="J247" t="s">
        <v>51</v>
      </c>
      <c r="K247" t="s">
        <v>109</v>
      </c>
      <c r="L247" t="s">
        <v>110</v>
      </c>
      <c r="M247" t="s">
        <v>47</v>
      </c>
      <c r="N247" t="s">
        <v>71</v>
      </c>
      <c r="O247">
        <v>12</v>
      </c>
      <c r="P247">
        <v>30</v>
      </c>
      <c r="Q247">
        <v>0.4</v>
      </c>
      <c r="R247">
        <v>480</v>
      </c>
      <c r="S247" s="1">
        <v>1344</v>
      </c>
      <c r="T247" t="s">
        <v>64</v>
      </c>
      <c r="U247" t="s">
        <v>65</v>
      </c>
      <c r="V247" s="1">
        <v>1319.89</v>
      </c>
      <c r="W247" s="2">
        <f>Merged_Clinical_Finance_Data[[#This Row],[Occupied_Beds]]/Merged_Clinical_Finance_Data[[#This Row],[Total_Beds]]</f>
        <v>0.4</v>
      </c>
      <c r="X247">
        <f>IF(Merged_Clinical_Finance_Data[[#This Row],[30Day_Readmission]]="Yes",1,0)</f>
        <v>1</v>
      </c>
      <c r="Y247" t="str" cm="1">
        <f t="array" ref="Y24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47" t="str" cm="1">
        <f t="array" ref="Z247">_xlfn.IFS(Merged_Clinical_Finance_Data[[#This Row],[Length_of_Stay_Days]]&lt;3,"Short (&lt;3)",Merged_Clinical_Finance_Data[[#This Row],[Length_of_Stay_Days]]&lt;=7,"Medium (3-7)",TRUE,"Long (&gt;7)")</f>
        <v>Short (&lt;3)</v>
      </c>
      <c r="AA247" s="3">
        <f>EOMONTH(Merged_Clinical_Finance_Data[[#This Row],[Admission_Date]],-1)+1</f>
        <v>45962</v>
      </c>
      <c r="AB247" s="1">
        <f>Merged_Clinical_Finance_Data[[#This Row],[Daily_Bed_Cost_GBP]]*Merged_Clinical_Finance_Data[[#This Row],[Length_of_Stay_Days]]</f>
        <v>1344</v>
      </c>
      <c r="AC247" t="str">
        <f>IF(Merged_Clinical_Finance_Data[[#This Row],[Total_Encounter_Cost_Naira]]&gt;AVERAGE(Merged_Clinical_Finance_Data[[#This Row],[Total_Encounter_Cost_Naira]]),"High","Normal")</f>
        <v>Normal</v>
      </c>
    </row>
    <row r="248" spans="1:29" x14ac:dyDescent="0.25">
      <c r="A248" t="s">
        <v>372</v>
      </c>
      <c r="B248" t="s">
        <v>107</v>
      </c>
      <c r="C248" t="s">
        <v>108</v>
      </c>
      <c r="D248" t="s">
        <v>32</v>
      </c>
      <c r="E248" s="3">
        <v>46009</v>
      </c>
      <c r="F248" s="3">
        <v>46011</v>
      </c>
      <c r="G248">
        <v>2.7</v>
      </c>
      <c r="H248">
        <v>62</v>
      </c>
      <c r="I248" t="s">
        <v>33</v>
      </c>
      <c r="J248" t="s">
        <v>61</v>
      </c>
      <c r="K248" t="s">
        <v>158</v>
      </c>
      <c r="L248" t="s">
        <v>110</v>
      </c>
      <c r="M248" t="s">
        <v>47</v>
      </c>
      <c r="N248" t="s">
        <v>71</v>
      </c>
      <c r="O248">
        <v>18</v>
      </c>
      <c r="P248">
        <v>30</v>
      </c>
      <c r="Q248">
        <v>0.6</v>
      </c>
      <c r="R248">
        <v>425</v>
      </c>
      <c r="S248" s="1">
        <v>1147.5</v>
      </c>
      <c r="T248" t="s">
        <v>84</v>
      </c>
      <c r="U248" t="s">
        <v>85</v>
      </c>
      <c r="V248" s="1">
        <v>2762.3</v>
      </c>
      <c r="W248" s="2">
        <f>Merged_Clinical_Finance_Data[[#This Row],[Occupied_Beds]]/Merged_Clinical_Finance_Data[[#This Row],[Total_Beds]]</f>
        <v>0.6</v>
      </c>
      <c r="X248">
        <f>IF(Merged_Clinical_Finance_Data[[#This Row],[30Day_Readmission]]="Yes",1,0)</f>
        <v>1</v>
      </c>
      <c r="Y248" t="str" cm="1">
        <f t="array" ref="Y24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48" t="str" cm="1">
        <f t="array" ref="Z248">_xlfn.IFS(Merged_Clinical_Finance_Data[[#This Row],[Length_of_Stay_Days]]&lt;3,"Short (&lt;3)",Merged_Clinical_Finance_Data[[#This Row],[Length_of_Stay_Days]]&lt;=7,"Medium (3-7)",TRUE,"Long (&gt;7)")</f>
        <v>Short (&lt;3)</v>
      </c>
      <c r="AA248" s="3">
        <f>EOMONTH(Merged_Clinical_Finance_Data[[#This Row],[Admission_Date]],-1)+1</f>
        <v>45992</v>
      </c>
      <c r="AB248" s="1">
        <f>Merged_Clinical_Finance_Data[[#This Row],[Daily_Bed_Cost_GBP]]*Merged_Clinical_Finance_Data[[#This Row],[Length_of_Stay_Days]]</f>
        <v>1147.5</v>
      </c>
      <c r="AC248" t="str">
        <f>IF(Merged_Clinical_Finance_Data[[#This Row],[Total_Encounter_Cost_Naira]]&gt;AVERAGE(Merged_Clinical_Finance_Data[[#This Row],[Total_Encounter_Cost_Naira]]),"High","Normal")</f>
        <v>Normal</v>
      </c>
    </row>
    <row r="249" spans="1:29" x14ac:dyDescent="0.25">
      <c r="A249" t="s">
        <v>373</v>
      </c>
      <c r="B249" t="s">
        <v>58</v>
      </c>
      <c r="C249" t="s">
        <v>59</v>
      </c>
      <c r="D249" t="s">
        <v>32</v>
      </c>
      <c r="E249" s="3">
        <v>45718</v>
      </c>
      <c r="F249" s="3">
        <v>45722</v>
      </c>
      <c r="G249">
        <v>4.5</v>
      </c>
      <c r="H249">
        <v>32</v>
      </c>
      <c r="I249" t="s">
        <v>33</v>
      </c>
      <c r="J249" t="s">
        <v>81</v>
      </c>
      <c r="K249" t="s">
        <v>95</v>
      </c>
      <c r="L249" t="s">
        <v>291</v>
      </c>
      <c r="M249" t="s">
        <v>37</v>
      </c>
      <c r="N249" t="s">
        <v>71</v>
      </c>
      <c r="O249">
        <v>17</v>
      </c>
      <c r="P249">
        <v>30</v>
      </c>
      <c r="Q249">
        <v>0.56669999999999998</v>
      </c>
      <c r="R249">
        <v>425</v>
      </c>
      <c r="S249" s="1">
        <v>1912.5</v>
      </c>
      <c r="T249" t="s">
        <v>136</v>
      </c>
      <c r="U249" t="s">
        <v>137</v>
      </c>
      <c r="V249" s="1">
        <v>4496.8999999999996</v>
      </c>
      <c r="W249" s="2">
        <f>Merged_Clinical_Finance_Data[[#This Row],[Occupied_Beds]]/Merged_Clinical_Finance_Data[[#This Row],[Total_Beds]]</f>
        <v>0.56666666666666665</v>
      </c>
      <c r="X249">
        <f>IF(Merged_Clinical_Finance_Data[[#This Row],[30Day_Readmission]]="Yes",1,0)</f>
        <v>1</v>
      </c>
      <c r="Y249" t="str" cm="1">
        <f t="array" ref="Y24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49" t="str" cm="1">
        <f t="array" ref="Z249">_xlfn.IFS(Merged_Clinical_Finance_Data[[#This Row],[Length_of_Stay_Days]]&lt;3,"Short (&lt;3)",Merged_Clinical_Finance_Data[[#This Row],[Length_of_Stay_Days]]&lt;=7,"Medium (3-7)",TRUE,"Long (&gt;7)")</f>
        <v>Medium (3-7)</v>
      </c>
      <c r="AA249" s="3">
        <f>EOMONTH(Merged_Clinical_Finance_Data[[#This Row],[Admission_Date]],-1)+1</f>
        <v>45717</v>
      </c>
      <c r="AB249" s="1">
        <f>Merged_Clinical_Finance_Data[[#This Row],[Daily_Bed_Cost_GBP]]*Merged_Clinical_Finance_Data[[#This Row],[Length_of_Stay_Days]]</f>
        <v>1912.5</v>
      </c>
      <c r="AC249" t="str">
        <f>IF(Merged_Clinical_Finance_Data[[#This Row],[Total_Encounter_Cost_Naira]]&gt;AVERAGE(Merged_Clinical_Finance_Data[[#This Row],[Total_Encounter_Cost_Naira]]),"High","Normal")</f>
        <v>Normal</v>
      </c>
    </row>
    <row r="250" spans="1:29" x14ac:dyDescent="0.25">
      <c r="A250" t="s">
        <v>374</v>
      </c>
      <c r="B250" t="s">
        <v>58</v>
      </c>
      <c r="C250" t="s">
        <v>59</v>
      </c>
      <c r="D250" t="s">
        <v>60</v>
      </c>
      <c r="E250" s="3">
        <v>45852</v>
      </c>
      <c r="F250" s="3">
        <v>45855</v>
      </c>
      <c r="G250">
        <v>3.6</v>
      </c>
      <c r="H250">
        <v>50</v>
      </c>
      <c r="I250" t="s">
        <v>43</v>
      </c>
      <c r="J250" t="s">
        <v>51</v>
      </c>
      <c r="K250" t="s">
        <v>62</v>
      </c>
      <c r="L250" t="s">
        <v>291</v>
      </c>
      <c r="M250" t="s">
        <v>47</v>
      </c>
      <c r="N250" t="s">
        <v>38</v>
      </c>
      <c r="O250">
        <v>30</v>
      </c>
      <c r="P250">
        <v>30</v>
      </c>
      <c r="Q250">
        <v>1</v>
      </c>
      <c r="R250">
        <v>450</v>
      </c>
      <c r="S250" s="1">
        <v>1620</v>
      </c>
      <c r="T250" t="s">
        <v>39</v>
      </c>
      <c r="U250" t="s">
        <v>40</v>
      </c>
      <c r="V250" s="1">
        <v>3253.95</v>
      </c>
      <c r="W250" s="2">
        <f>Merged_Clinical_Finance_Data[[#This Row],[Occupied_Beds]]/Merged_Clinical_Finance_Data[[#This Row],[Total_Beds]]</f>
        <v>1</v>
      </c>
      <c r="X250">
        <f>IF(Merged_Clinical_Finance_Data[[#This Row],[30Day_Readmission]]="Yes",1,0)</f>
        <v>0</v>
      </c>
      <c r="Y250" t="str" cm="1">
        <f t="array" ref="Y25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50" t="str" cm="1">
        <f t="array" ref="Z250">_xlfn.IFS(Merged_Clinical_Finance_Data[[#This Row],[Length_of_Stay_Days]]&lt;3,"Short (&lt;3)",Merged_Clinical_Finance_Data[[#This Row],[Length_of_Stay_Days]]&lt;=7,"Medium (3-7)",TRUE,"Long (&gt;7)")</f>
        <v>Medium (3-7)</v>
      </c>
      <c r="AA250" s="3">
        <f>EOMONTH(Merged_Clinical_Finance_Data[[#This Row],[Admission_Date]],-1)+1</f>
        <v>45839</v>
      </c>
      <c r="AB250" s="1">
        <f>Merged_Clinical_Finance_Data[[#This Row],[Daily_Bed_Cost_GBP]]*Merged_Clinical_Finance_Data[[#This Row],[Length_of_Stay_Days]]</f>
        <v>1620</v>
      </c>
      <c r="AC250" t="str">
        <f>IF(Merged_Clinical_Finance_Data[[#This Row],[Total_Encounter_Cost_Naira]]&gt;AVERAGE(Merged_Clinical_Finance_Data[[#This Row],[Total_Encounter_Cost_Naira]]),"High","Normal")</f>
        <v>Normal</v>
      </c>
    </row>
    <row r="251" spans="1:29" x14ac:dyDescent="0.25">
      <c r="A251" t="s">
        <v>375</v>
      </c>
      <c r="B251" t="s">
        <v>107</v>
      </c>
      <c r="C251" t="s">
        <v>108</v>
      </c>
      <c r="D251" t="s">
        <v>32</v>
      </c>
      <c r="E251" s="3">
        <v>45812</v>
      </c>
      <c r="F251" s="3">
        <v>45819</v>
      </c>
      <c r="G251">
        <v>7.2</v>
      </c>
      <c r="H251">
        <v>33</v>
      </c>
      <c r="I251" t="s">
        <v>43</v>
      </c>
      <c r="J251" t="s">
        <v>51</v>
      </c>
      <c r="K251" t="s">
        <v>158</v>
      </c>
      <c r="L251" t="s">
        <v>121</v>
      </c>
      <c r="M251" t="s">
        <v>47</v>
      </c>
      <c r="N251" t="s">
        <v>38</v>
      </c>
      <c r="O251">
        <v>20</v>
      </c>
      <c r="P251">
        <v>30</v>
      </c>
      <c r="Q251">
        <v>0.66669999999999996</v>
      </c>
      <c r="R251">
        <v>510</v>
      </c>
      <c r="S251" s="1">
        <v>3672</v>
      </c>
      <c r="T251" t="s">
        <v>64</v>
      </c>
      <c r="U251" t="s">
        <v>65</v>
      </c>
      <c r="V251" s="1">
        <v>2755.6</v>
      </c>
      <c r="W251" s="2">
        <f>Merged_Clinical_Finance_Data[[#This Row],[Occupied_Beds]]/Merged_Clinical_Finance_Data[[#This Row],[Total_Beds]]</f>
        <v>0.66666666666666663</v>
      </c>
      <c r="X251">
        <f>IF(Merged_Clinical_Finance_Data[[#This Row],[30Day_Readmission]]="Yes",1,0)</f>
        <v>0</v>
      </c>
      <c r="Y251" t="str" cm="1">
        <f t="array" ref="Y25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51" t="str" cm="1">
        <f t="array" ref="Z251">_xlfn.IFS(Merged_Clinical_Finance_Data[[#This Row],[Length_of_Stay_Days]]&lt;3,"Short (&lt;3)",Merged_Clinical_Finance_Data[[#This Row],[Length_of_Stay_Days]]&lt;=7,"Medium (3-7)",TRUE,"Long (&gt;7)")</f>
        <v>Long (&gt;7)</v>
      </c>
      <c r="AA251" s="3">
        <f>EOMONTH(Merged_Clinical_Finance_Data[[#This Row],[Admission_Date]],-1)+1</f>
        <v>45809</v>
      </c>
      <c r="AB251" s="1">
        <f>Merged_Clinical_Finance_Data[[#This Row],[Daily_Bed_Cost_GBP]]*Merged_Clinical_Finance_Data[[#This Row],[Length_of_Stay_Days]]</f>
        <v>3672</v>
      </c>
      <c r="AC251" t="str">
        <f>IF(Merged_Clinical_Finance_Data[[#This Row],[Total_Encounter_Cost_Naira]]&gt;AVERAGE(Merged_Clinical_Finance_Data[[#This Row],[Total_Encounter_Cost_Naira]]),"High","Normal")</f>
        <v>Normal</v>
      </c>
    </row>
    <row r="252" spans="1:29" x14ac:dyDescent="0.25">
      <c r="A252" t="s">
        <v>376</v>
      </c>
      <c r="B252" t="s">
        <v>67</v>
      </c>
      <c r="C252" t="s">
        <v>68</v>
      </c>
      <c r="D252" t="s">
        <v>42</v>
      </c>
      <c r="E252" s="3">
        <v>45734</v>
      </c>
      <c r="F252" s="3">
        <v>45739</v>
      </c>
      <c r="G252">
        <v>5.4</v>
      </c>
      <c r="H252">
        <v>39</v>
      </c>
      <c r="I252" t="s">
        <v>43</v>
      </c>
      <c r="J252" t="s">
        <v>44</v>
      </c>
      <c r="K252" t="s">
        <v>69</v>
      </c>
      <c r="L252" t="s">
        <v>167</v>
      </c>
      <c r="M252" t="s">
        <v>47</v>
      </c>
      <c r="N252" t="s">
        <v>38</v>
      </c>
      <c r="O252">
        <v>14</v>
      </c>
      <c r="P252">
        <v>30</v>
      </c>
      <c r="Q252">
        <v>0.4667</v>
      </c>
      <c r="R252">
        <v>450</v>
      </c>
      <c r="S252" s="1">
        <v>2430</v>
      </c>
      <c r="T252" t="s">
        <v>111</v>
      </c>
      <c r="U252" t="s">
        <v>112</v>
      </c>
      <c r="V252" s="1">
        <v>646.77</v>
      </c>
      <c r="W252" s="2">
        <f>Merged_Clinical_Finance_Data[[#This Row],[Occupied_Beds]]/Merged_Clinical_Finance_Data[[#This Row],[Total_Beds]]</f>
        <v>0.46666666666666667</v>
      </c>
      <c r="X252">
        <f>IF(Merged_Clinical_Finance_Data[[#This Row],[30Day_Readmission]]="Yes",1,0)</f>
        <v>0</v>
      </c>
      <c r="Y252" t="str" cm="1">
        <f t="array" ref="Y25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52" t="str" cm="1">
        <f t="array" ref="Z252">_xlfn.IFS(Merged_Clinical_Finance_Data[[#This Row],[Length_of_Stay_Days]]&lt;3,"Short (&lt;3)",Merged_Clinical_Finance_Data[[#This Row],[Length_of_Stay_Days]]&lt;=7,"Medium (3-7)",TRUE,"Long (&gt;7)")</f>
        <v>Medium (3-7)</v>
      </c>
      <c r="AA252" s="3">
        <f>EOMONTH(Merged_Clinical_Finance_Data[[#This Row],[Admission_Date]],-1)+1</f>
        <v>45717</v>
      </c>
      <c r="AB252" s="1">
        <f>Merged_Clinical_Finance_Data[[#This Row],[Daily_Bed_Cost_GBP]]*Merged_Clinical_Finance_Data[[#This Row],[Length_of_Stay_Days]]</f>
        <v>2430</v>
      </c>
      <c r="AC252" t="str">
        <f>IF(Merged_Clinical_Finance_Data[[#This Row],[Total_Encounter_Cost_Naira]]&gt;AVERAGE(Merged_Clinical_Finance_Data[[#This Row],[Total_Encounter_Cost_Naira]]),"High","Normal")</f>
        <v>Normal</v>
      </c>
    </row>
    <row r="253" spans="1:29" x14ac:dyDescent="0.25">
      <c r="A253" t="s">
        <v>377</v>
      </c>
      <c r="B253" t="s">
        <v>67</v>
      </c>
      <c r="C253" t="s">
        <v>68</v>
      </c>
      <c r="D253" t="s">
        <v>32</v>
      </c>
      <c r="E253" s="3">
        <v>45856</v>
      </c>
      <c r="F253" s="3">
        <v>45860</v>
      </c>
      <c r="G253">
        <v>4.2</v>
      </c>
      <c r="H253">
        <v>29</v>
      </c>
      <c r="I253" t="s">
        <v>33</v>
      </c>
      <c r="J253" t="s">
        <v>51</v>
      </c>
      <c r="K253" t="s">
        <v>76</v>
      </c>
      <c r="L253" t="s">
        <v>77</v>
      </c>
      <c r="M253" t="s">
        <v>47</v>
      </c>
      <c r="N253" t="s">
        <v>38</v>
      </c>
      <c r="O253">
        <v>20</v>
      </c>
      <c r="P253">
        <v>30</v>
      </c>
      <c r="Q253">
        <v>0.66669999999999996</v>
      </c>
      <c r="R253">
        <v>425</v>
      </c>
      <c r="S253" s="1">
        <v>1785</v>
      </c>
      <c r="T253" t="s">
        <v>55</v>
      </c>
      <c r="U253" t="s">
        <v>56</v>
      </c>
      <c r="V253" s="1">
        <v>1027.44</v>
      </c>
      <c r="W253" s="2">
        <f>Merged_Clinical_Finance_Data[[#This Row],[Occupied_Beds]]/Merged_Clinical_Finance_Data[[#This Row],[Total_Beds]]</f>
        <v>0.66666666666666663</v>
      </c>
      <c r="X253">
        <f>IF(Merged_Clinical_Finance_Data[[#This Row],[30Day_Readmission]]="Yes",1,0)</f>
        <v>0</v>
      </c>
      <c r="Y253" t="str" cm="1">
        <f t="array" ref="Y25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53" t="str" cm="1">
        <f t="array" ref="Z253">_xlfn.IFS(Merged_Clinical_Finance_Data[[#This Row],[Length_of_Stay_Days]]&lt;3,"Short (&lt;3)",Merged_Clinical_Finance_Data[[#This Row],[Length_of_Stay_Days]]&lt;=7,"Medium (3-7)",TRUE,"Long (&gt;7)")</f>
        <v>Medium (3-7)</v>
      </c>
      <c r="AA253" s="3">
        <f>EOMONTH(Merged_Clinical_Finance_Data[[#This Row],[Admission_Date]],-1)+1</f>
        <v>45839</v>
      </c>
      <c r="AB253" s="1">
        <f>Merged_Clinical_Finance_Data[[#This Row],[Daily_Bed_Cost_GBP]]*Merged_Clinical_Finance_Data[[#This Row],[Length_of_Stay_Days]]</f>
        <v>1785</v>
      </c>
      <c r="AC253" t="str">
        <f>IF(Merged_Clinical_Finance_Data[[#This Row],[Total_Encounter_Cost_Naira]]&gt;AVERAGE(Merged_Clinical_Finance_Data[[#This Row],[Total_Encounter_Cost_Naira]]),"High","Normal")</f>
        <v>Normal</v>
      </c>
    </row>
    <row r="254" spans="1:29" x14ac:dyDescent="0.25">
      <c r="A254" t="s">
        <v>378</v>
      </c>
      <c r="B254" t="s">
        <v>107</v>
      </c>
      <c r="C254" t="s">
        <v>108</v>
      </c>
      <c r="D254" t="s">
        <v>42</v>
      </c>
      <c r="E254" s="3">
        <v>45844</v>
      </c>
      <c r="F254" s="3">
        <v>45847</v>
      </c>
      <c r="G254">
        <v>3.9</v>
      </c>
      <c r="H254">
        <v>71</v>
      </c>
      <c r="I254" t="s">
        <v>33</v>
      </c>
      <c r="J254" t="s">
        <v>73</v>
      </c>
      <c r="K254" t="s">
        <v>109</v>
      </c>
      <c r="L254" t="s">
        <v>121</v>
      </c>
      <c r="M254" t="s">
        <v>47</v>
      </c>
      <c r="N254" t="s">
        <v>38</v>
      </c>
      <c r="O254">
        <v>18</v>
      </c>
      <c r="P254">
        <v>30</v>
      </c>
      <c r="Q254">
        <v>0.6</v>
      </c>
      <c r="R254">
        <v>510</v>
      </c>
      <c r="S254" s="1">
        <v>1989</v>
      </c>
      <c r="T254" t="s">
        <v>64</v>
      </c>
      <c r="U254" t="s">
        <v>65</v>
      </c>
      <c r="V254" s="1">
        <v>1031.04</v>
      </c>
      <c r="W254" s="2">
        <f>Merged_Clinical_Finance_Data[[#This Row],[Occupied_Beds]]/Merged_Clinical_Finance_Data[[#This Row],[Total_Beds]]</f>
        <v>0.6</v>
      </c>
      <c r="X254">
        <f>IF(Merged_Clinical_Finance_Data[[#This Row],[30Day_Readmission]]="Yes",1,0)</f>
        <v>0</v>
      </c>
      <c r="Y254" t="str" cm="1">
        <f t="array" ref="Y25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254" t="str" cm="1">
        <f t="array" ref="Z254">_xlfn.IFS(Merged_Clinical_Finance_Data[[#This Row],[Length_of_Stay_Days]]&lt;3,"Short (&lt;3)",Merged_Clinical_Finance_Data[[#This Row],[Length_of_Stay_Days]]&lt;=7,"Medium (3-7)",TRUE,"Long (&gt;7)")</f>
        <v>Medium (3-7)</v>
      </c>
      <c r="AA254" s="3">
        <f>EOMONTH(Merged_Clinical_Finance_Data[[#This Row],[Admission_Date]],-1)+1</f>
        <v>45839</v>
      </c>
      <c r="AB254" s="1">
        <f>Merged_Clinical_Finance_Data[[#This Row],[Daily_Bed_Cost_GBP]]*Merged_Clinical_Finance_Data[[#This Row],[Length_of_Stay_Days]]</f>
        <v>1989</v>
      </c>
      <c r="AC254" t="str">
        <f>IF(Merged_Clinical_Finance_Data[[#This Row],[Total_Encounter_Cost_Naira]]&gt;AVERAGE(Merged_Clinical_Finance_Data[[#This Row],[Total_Encounter_Cost_Naira]]),"High","Normal")</f>
        <v>Normal</v>
      </c>
    </row>
    <row r="255" spans="1:29" x14ac:dyDescent="0.25">
      <c r="A255" t="s">
        <v>379</v>
      </c>
      <c r="B255" t="s">
        <v>107</v>
      </c>
      <c r="C255" t="s">
        <v>108</v>
      </c>
      <c r="D255" t="s">
        <v>42</v>
      </c>
      <c r="E255" s="3">
        <v>45827</v>
      </c>
      <c r="F255" s="3">
        <v>45829</v>
      </c>
      <c r="G255">
        <v>2.4</v>
      </c>
      <c r="H255">
        <v>82</v>
      </c>
      <c r="I255" t="s">
        <v>43</v>
      </c>
      <c r="J255" t="s">
        <v>44</v>
      </c>
      <c r="K255" t="s">
        <v>158</v>
      </c>
      <c r="L255" t="s">
        <v>121</v>
      </c>
      <c r="M255" t="s">
        <v>47</v>
      </c>
      <c r="N255" t="s">
        <v>38</v>
      </c>
      <c r="O255">
        <v>21</v>
      </c>
      <c r="P255">
        <v>30</v>
      </c>
      <c r="Q255">
        <v>0.7</v>
      </c>
      <c r="R255">
        <v>510</v>
      </c>
      <c r="S255" s="1">
        <v>1224</v>
      </c>
      <c r="T255" t="s">
        <v>111</v>
      </c>
      <c r="U255" t="s">
        <v>112</v>
      </c>
      <c r="V255" s="1">
        <v>1098.9000000000001</v>
      </c>
      <c r="W255" s="2">
        <f>Merged_Clinical_Finance_Data[[#This Row],[Occupied_Beds]]/Merged_Clinical_Finance_Data[[#This Row],[Total_Beds]]</f>
        <v>0.7</v>
      </c>
      <c r="X255">
        <f>IF(Merged_Clinical_Finance_Data[[#This Row],[30Day_Readmission]]="Yes",1,0)</f>
        <v>0</v>
      </c>
      <c r="Y255" t="str" cm="1">
        <f t="array" ref="Y25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255" t="str" cm="1">
        <f t="array" ref="Z255">_xlfn.IFS(Merged_Clinical_Finance_Data[[#This Row],[Length_of_Stay_Days]]&lt;3,"Short (&lt;3)",Merged_Clinical_Finance_Data[[#This Row],[Length_of_Stay_Days]]&lt;=7,"Medium (3-7)",TRUE,"Long (&gt;7)")</f>
        <v>Short (&lt;3)</v>
      </c>
      <c r="AA255" s="3">
        <f>EOMONTH(Merged_Clinical_Finance_Data[[#This Row],[Admission_Date]],-1)+1</f>
        <v>45809</v>
      </c>
      <c r="AB255" s="1">
        <f>Merged_Clinical_Finance_Data[[#This Row],[Daily_Bed_Cost_GBP]]*Merged_Clinical_Finance_Data[[#This Row],[Length_of_Stay_Days]]</f>
        <v>1224</v>
      </c>
      <c r="AC255" t="str">
        <f>IF(Merged_Clinical_Finance_Data[[#This Row],[Total_Encounter_Cost_Naira]]&gt;AVERAGE(Merged_Clinical_Finance_Data[[#This Row],[Total_Encounter_Cost_Naira]]),"High","Normal")</f>
        <v>Normal</v>
      </c>
    </row>
    <row r="256" spans="1:29" x14ac:dyDescent="0.25">
      <c r="A256" t="s">
        <v>380</v>
      </c>
      <c r="B256" t="s">
        <v>102</v>
      </c>
      <c r="C256" t="s">
        <v>103</v>
      </c>
      <c r="D256" t="s">
        <v>42</v>
      </c>
      <c r="E256" s="3">
        <v>45709</v>
      </c>
      <c r="F256" s="3">
        <v>45711</v>
      </c>
      <c r="G256">
        <v>2.2999999999999998</v>
      </c>
      <c r="H256">
        <v>38</v>
      </c>
      <c r="I256" t="s">
        <v>33</v>
      </c>
      <c r="J256" t="s">
        <v>44</v>
      </c>
      <c r="K256" t="s">
        <v>153</v>
      </c>
      <c r="L256" t="s">
        <v>209</v>
      </c>
      <c r="M256" t="s">
        <v>47</v>
      </c>
      <c r="N256" t="s">
        <v>38</v>
      </c>
      <c r="O256">
        <v>26</v>
      </c>
      <c r="P256">
        <v>30</v>
      </c>
      <c r="Q256">
        <v>0.86670000000000003</v>
      </c>
      <c r="R256">
        <v>480</v>
      </c>
      <c r="S256" s="1">
        <v>1104</v>
      </c>
      <c r="T256" t="s">
        <v>136</v>
      </c>
      <c r="U256" t="s">
        <v>137</v>
      </c>
      <c r="V256" s="1">
        <v>1200.1199999999999</v>
      </c>
      <c r="W256" s="2">
        <f>Merged_Clinical_Finance_Data[[#This Row],[Occupied_Beds]]/Merged_Clinical_Finance_Data[[#This Row],[Total_Beds]]</f>
        <v>0.8666666666666667</v>
      </c>
      <c r="X256">
        <f>IF(Merged_Clinical_Finance_Data[[#This Row],[30Day_Readmission]]="Yes",1,0)</f>
        <v>0</v>
      </c>
      <c r="Y256" t="str" cm="1">
        <f t="array" ref="Y25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56" t="str" cm="1">
        <f t="array" ref="Z256">_xlfn.IFS(Merged_Clinical_Finance_Data[[#This Row],[Length_of_Stay_Days]]&lt;3,"Short (&lt;3)",Merged_Clinical_Finance_Data[[#This Row],[Length_of_Stay_Days]]&lt;=7,"Medium (3-7)",TRUE,"Long (&gt;7)")</f>
        <v>Short (&lt;3)</v>
      </c>
      <c r="AA256" s="3">
        <f>EOMONTH(Merged_Clinical_Finance_Data[[#This Row],[Admission_Date]],-1)+1</f>
        <v>45689</v>
      </c>
      <c r="AB256" s="1">
        <f>Merged_Clinical_Finance_Data[[#This Row],[Daily_Bed_Cost_GBP]]*Merged_Clinical_Finance_Data[[#This Row],[Length_of_Stay_Days]]</f>
        <v>1104</v>
      </c>
      <c r="AC256" t="str">
        <f>IF(Merged_Clinical_Finance_Data[[#This Row],[Total_Encounter_Cost_Naira]]&gt;AVERAGE(Merged_Clinical_Finance_Data[[#This Row],[Total_Encounter_Cost_Naira]]),"High","Normal")</f>
        <v>Normal</v>
      </c>
    </row>
    <row r="257" spans="1:29" x14ac:dyDescent="0.25">
      <c r="A257" t="s">
        <v>381</v>
      </c>
      <c r="B257" t="s">
        <v>67</v>
      </c>
      <c r="C257" t="s">
        <v>68</v>
      </c>
      <c r="D257" t="s">
        <v>42</v>
      </c>
      <c r="E257" s="3">
        <v>46017</v>
      </c>
      <c r="F257" s="3">
        <v>46020</v>
      </c>
      <c r="G257">
        <v>3.5</v>
      </c>
      <c r="H257">
        <v>20</v>
      </c>
      <c r="I257" t="s">
        <v>43</v>
      </c>
      <c r="J257" t="s">
        <v>61</v>
      </c>
      <c r="K257" t="s">
        <v>69</v>
      </c>
      <c r="L257" t="s">
        <v>167</v>
      </c>
      <c r="M257" t="s">
        <v>47</v>
      </c>
      <c r="N257" t="s">
        <v>71</v>
      </c>
      <c r="O257">
        <v>14</v>
      </c>
      <c r="P257">
        <v>30</v>
      </c>
      <c r="Q257">
        <v>0.4667</v>
      </c>
      <c r="R257">
        <v>375</v>
      </c>
      <c r="S257" s="1">
        <v>1312.5</v>
      </c>
      <c r="T257" t="s">
        <v>111</v>
      </c>
      <c r="U257" t="s">
        <v>112</v>
      </c>
      <c r="V257" s="1">
        <v>1728.21</v>
      </c>
      <c r="W257" s="2">
        <f>Merged_Clinical_Finance_Data[[#This Row],[Occupied_Beds]]/Merged_Clinical_Finance_Data[[#This Row],[Total_Beds]]</f>
        <v>0.46666666666666667</v>
      </c>
      <c r="X257">
        <f>IF(Merged_Clinical_Finance_Data[[#This Row],[30Day_Readmission]]="Yes",1,0)</f>
        <v>1</v>
      </c>
      <c r="Y257" t="str" cm="1">
        <f t="array" ref="Y25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57" t="str" cm="1">
        <f t="array" ref="Z257">_xlfn.IFS(Merged_Clinical_Finance_Data[[#This Row],[Length_of_Stay_Days]]&lt;3,"Short (&lt;3)",Merged_Clinical_Finance_Data[[#This Row],[Length_of_Stay_Days]]&lt;=7,"Medium (3-7)",TRUE,"Long (&gt;7)")</f>
        <v>Medium (3-7)</v>
      </c>
      <c r="AA257" s="3">
        <f>EOMONTH(Merged_Clinical_Finance_Data[[#This Row],[Admission_Date]],-1)+1</f>
        <v>45992</v>
      </c>
      <c r="AB257" s="1">
        <f>Merged_Clinical_Finance_Data[[#This Row],[Daily_Bed_Cost_GBP]]*Merged_Clinical_Finance_Data[[#This Row],[Length_of_Stay_Days]]</f>
        <v>1312.5</v>
      </c>
      <c r="AC257" t="str">
        <f>IF(Merged_Clinical_Finance_Data[[#This Row],[Total_Encounter_Cost_Naira]]&gt;AVERAGE(Merged_Clinical_Finance_Data[[#This Row],[Total_Encounter_Cost_Naira]]),"High","Normal")</f>
        <v>Normal</v>
      </c>
    </row>
    <row r="258" spans="1:29" x14ac:dyDescent="0.25">
      <c r="A258" t="s">
        <v>382</v>
      </c>
      <c r="B258" t="s">
        <v>58</v>
      </c>
      <c r="C258" t="s">
        <v>59</v>
      </c>
      <c r="D258" t="s">
        <v>32</v>
      </c>
      <c r="E258" s="3">
        <v>45970</v>
      </c>
      <c r="F258" s="3">
        <v>45976</v>
      </c>
      <c r="G258">
        <v>6.8</v>
      </c>
      <c r="H258">
        <v>40</v>
      </c>
      <c r="I258" t="s">
        <v>43</v>
      </c>
      <c r="J258" t="s">
        <v>51</v>
      </c>
      <c r="K258" t="s">
        <v>62</v>
      </c>
      <c r="L258" t="s">
        <v>291</v>
      </c>
      <c r="M258" t="s">
        <v>54</v>
      </c>
      <c r="N258" t="s">
        <v>38</v>
      </c>
      <c r="O258">
        <v>16</v>
      </c>
      <c r="P258">
        <v>30</v>
      </c>
      <c r="Q258">
        <v>0.5333</v>
      </c>
      <c r="R258">
        <v>480</v>
      </c>
      <c r="S258" s="1">
        <v>3264</v>
      </c>
      <c r="T258" t="s">
        <v>39</v>
      </c>
      <c r="U258" t="s">
        <v>40</v>
      </c>
      <c r="V258" s="1">
        <v>3157.1</v>
      </c>
      <c r="W258" s="2">
        <f>Merged_Clinical_Finance_Data[[#This Row],[Occupied_Beds]]/Merged_Clinical_Finance_Data[[#This Row],[Total_Beds]]</f>
        <v>0.53333333333333333</v>
      </c>
      <c r="X258">
        <f>IF(Merged_Clinical_Finance_Data[[#This Row],[30Day_Readmission]]="Yes",1,0)</f>
        <v>0</v>
      </c>
      <c r="Y258" t="str" cm="1">
        <f t="array" ref="Y25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58" t="str" cm="1">
        <f t="array" ref="Z258">_xlfn.IFS(Merged_Clinical_Finance_Data[[#This Row],[Length_of_Stay_Days]]&lt;3,"Short (&lt;3)",Merged_Clinical_Finance_Data[[#This Row],[Length_of_Stay_Days]]&lt;=7,"Medium (3-7)",TRUE,"Long (&gt;7)")</f>
        <v>Medium (3-7)</v>
      </c>
      <c r="AA258" s="3">
        <f>EOMONTH(Merged_Clinical_Finance_Data[[#This Row],[Admission_Date]],-1)+1</f>
        <v>45962</v>
      </c>
      <c r="AB258" s="1">
        <f>Merged_Clinical_Finance_Data[[#This Row],[Daily_Bed_Cost_GBP]]*Merged_Clinical_Finance_Data[[#This Row],[Length_of_Stay_Days]]</f>
        <v>3264</v>
      </c>
      <c r="AC258" t="str">
        <f>IF(Merged_Clinical_Finance_Data[[#This Row],[Total_Encounter_Cost_Naira]]&gt;AVERAGE(Merged_Clinical_Finance_Data[[#This Row],[Total_Encounter_Cost_Naira]]),"High","Normal")</f>
        <v>Normal</v>
      </c>
    </row>
    <row r="259" spans="1:29" x14ac:dyDescent="0.25">
      <c r="A259" t="s">
        <v>383</v>
      </c>
      <c r="B259" t="s">
        <v>67</v>
      </c>
      <c r="C259" t="s">
        <v>68</v>
      </c>
      <c r="D259" t="s">
        <v>42</v>
      </c>
      <c r="E259" s="3">
        <v>45828</v>
      </c>
      <c r="F259" s="3">
        <v>45830</v>
      </c>
      <c r="G259">
        <v>2.7</v>
      </c>
      <c r="H259">
        <v>46</v>
      </c>
      <c r="I259" t="s">
        <v>33</v>
      </c>
      <c r="J259" t="s">
        <v>61</v>
      </c>
      <c r="K259" t="s">
        <v>76</v>
      </c>
      <c r="L259" t="s">
        <v>176</v>
      </c>
      <c r="M259" t="s">
        <v>47</v>
      </c>
      <c r="N259" t="s">
        <v>38</v>
      </c>
      <c r="O259">
        <v>23</v>
      </c>
      <c r="P259">
        <v>30</v>
      </c>
      <c r="Q259">
        <v>0.76670000000000005</v>
      </c>
      <c r="R259">
        <v>450</v>
      </c>
      <c r="S259" s="1">
        <v>1215</v>
      </c>
      <c r="T259" t="s">
        <v>55</v>
      </c>
      <c r="U259" t="s">
        <v>56</v>
      </c>
      <c r="V259" s="1">
        <v>610.49</v>
      </c>
      <c r="W259" s="2">
        <f>Merged_Clinical_Finance_Data[[#This Row],[Occupied_Beds]]/Merged_Clinical_Finance_Data[[#This Row],[Total_Beds]]</f>
        <v>0.76666666666666672</v>
      </c>
      <c r="X259">
        <f>IF(Merged_Clinical_Finance_Data[[#This Row],[30Day_Readmission]]="Yes",1,0)</f>
        <v>0</v>
      </c>
      <c r="Y259" t="str" cm="1">
        <f t="array" ref="Y25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59" t="str" cm="1">
        <f t="array" ref="Z259">_xlfn.IFS(Merged_Clinical_Finance_Data[[#This Row],[Length_of_Stay_Days]]&lt;3,"Short (&lt;3)",Merged_Clinical_Finance_Data[[#This Row],[Length_of_Stay_Days]]&lt;=7,"Medium (3-7)",TRUE,"Long (&gt;7)")</f>
        <v>Short (&lt;3)</v>
      </c>
      <c r="AA259" s="3">
        <f>EOMONTH(Merged_Clinical_Finance_Data[[#This Row],[Admission_Date]],-1)+1</f>
        <v>45809</v>
      </c>
      <c r="AB259" s="1">
        <f>Merged_Clinical_Finance_Data[[#This Row],[Daily_Bed_Cost_GBP]]*Merged_Clinical_Finance_Data[[#This Row],[Length_of_Stay_Days]]</f>
        <v>1215</v>
      </c>
      <c r="AC259" t="str">
        <f>IF(Merged_Clinical_Finance_Data[[#This Row],[Total_Encounter_Cost_Naira]]&gt;AVERAGE(Merged_Clinical_Finance_Data[[#This Row],[Total_Encounter_Cost_Naira]]),"High","Normal")</f>
        <v>Normal</v>
      </c>
    </row>
    <row r="260" spans="1:29" x14ac:dyDescent="0.25">
      <c r="A260" t="s">
        <v>384</v>
      </c>
      <c r="B260" t="s">
        <v>114</v>
      </c>
      <c r="C260" t="s">
        <v>115</v>
      </c>
      <c r="D260" t="s">
        <v>42</v>
      </c>
      <c r="E260" s="3">
        <v>45941</v>
      </c>
      <c r="F260" s="3">
        <v>45952</v>
      </c>
      <c r="G260">
        <v>11.9</v>
      </c>
      <c r="H260">
        <v>19</v>
      </c>
      <c r="I260" t="s">
        <v>33</v>
      </c>
      <c r="J260" t="s">
        <v>51</v>
      </c>
      <c r="K260" t="s">
        <v>132</v>
      </c>
      <c r="L260" t="s">
        <v>117</v>
      </c>
      <c r="M260" t="s">
        <v>47</v>
      </c>
      <c r="N260" t="s">
        <v>38</v>
      </c>
      <c r="O260">
        <v>19</v>
      </c>
      <c r="P260">
        <v>30</v>
      </c>
      <c r="Q260">
        <v>0.63329999999999997</v>
      </c>
      <c r="R260">
        <v>400</v>
      </c>
      <c r="S260" s="1">
        <v>4760</v>
      </c>
      <c r="T260" t="s">
        <v>89</v>
      </c>
      <c r="U260" t="s">
        <v>90</v>
      </c>
      <c r="V260" s="1">
        <v>7455.23</v>
      </c>
      <c r="W260" s="2">
        <f>Merged_Clinical_Finance_Data[[#This Row],[Occupied_Beds]]/Merged_Clinical_Finance_Data[[#This Row],[Total_Beds]]</f>
        <v>0.6333333333333333</v>
      </c>
      <c r="X260">
        <f>IF(Merged_Clinical_Finance_Data[[#This Row],[30Day_Readmission]]="Yes",1,0)</f>
        <v>0</v>
      </c>
      <c r="Y260" t="str" cm="1">
        <f t="array" ref="Y26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60" t="str" cm="1">
        <f t="array" ref="Z260">_xlfn.IFS(Merged_Clinical_Finance_Data[[#This Row],[Length_of_Stay_Days]]&lt;3,"Short (&lt;3)",Merged_Clinical_Finance_Data[[#This Row],[Length_of_Stay_Days]]&lt;=7,"Medium (3-7)",TRUE,"Long (&gt;7)")</f>
        <v>Long (&gt;7)</v>
      </c>
      <c r="AA260" s="3">
        <f>EOMONTH(Merged_Clinical_Finance_Data[[#This Row],[Admission_Date]],-1)+1</f>
        <v>45931</v>
      </c>
      <c r="AB260" s="1">
        <f>Merged_Clinical_Finance_Data[[#This Row],[Daily_Bed_Cost_GBP]]*Merged_Clinical_Finance_Data[[#This Row],[Length_of_Stay_Days]]</f>
        <v>4760</v>
      </c>
      <c r="AC260" t="str">
        <f>IF(Merged_Clinical_Finance_Data[[#This Row],[Total_Encounter_Cost_Naira]]&gt;AVERAGE(Merged_Clinical_Finance_Data[[#This Row],[Total_Encounter_Cost_Naira]]),"High","Normal")</f>
        <v>Normal</v>
      </c>
    </row>
    <row r="261" spans="1:29" x14ac:dyDescent="0.25">
      <c r="A261" t="s">
        <v>385</v>
      </c>
      <c r="B261" t="s">
        <v>114</v>
      </c>
      <c r="C261" t="s">
        <v>115</v>
      </c>
      <c r="D261" t="s">
        <v>42</v>
      </c>
      <c r="E261" s="3">
        <v>45760</v>
      </c>
      <c r="F261" s="3">
        <v>45769</v>
      </c>
      <c r="G261">
        <v>9.1</v>
      </c>
      <c r="H261">
        <v>78</v>
      </c>
      <c r="I261" t="s">
        <v>43</v>
      </c>
      <c r="J261" t="s">
        <v>44</v>
      </c>
      <c r="K261" t="s">
        <v>116</v>
      </c>
      <c r="L261" t="s">
        <v>117</v>
      </c>
      <c r="M261" t="s">
        <v>54</v>
      </c>
      <c r="N261" t="s">
        <v>38</v>
      </c>
      <c r="O261">
        <v>23</v>
      </c>
      <c r="P261">
        <v>30</v>
      </c>
      <c r="Q261">
        <v>0.76670000000000005</v>
      </c>
      <c r="R261">
        <v>400</v>
      </c>
      <c r="S261" s="1">
        <v>3640</v>
      </c>
      <c r="T261" t="s">
        <v>64</v>
      </c>
      <c r="U261" t="s">
        <v>65</v>
      </c>
      <c r="V261" s="1">
        <v>887.96</v>
      </c>
      <c r="W261" s="2">
        <f>Merged_Clinical_Finance_Data[[#This Row],[Occupied_Beds]]/Merged_Clinical_Finance_Data[[#This Row],[Total_Beds]]</f>
        <v>0.76666666666666672</v>
      </c>
      <c r="X261">
        <f>IF(Merged_Clinical_Finance_Data[[#This Row],[30Day_Readmission]]="Yes",1,0)</f>
        <v>0</v>
      </c>
      <c r="Y261" t="str" cm="1">
        <f t="array" ref="Y26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261" t="str" cm="1">
        <f t="array" ref="Z261">_xlfn.IFS(Merged_Clinical_Finance_Data[[#This Row],[Length_of_Stay_Days]]&lt;3,"Short (&lt;3)",Merged_Clinical_Finance_Data[[#This Row],[Length_of_Stay_Days]]&lt;=7,"Medium (3-7)",TRUE,"Long (&gt;7)")</f>
        <v>Long (&gt;7)</v>
      </c>
      <c r="AA261" s="3">
        <f>EOMONTH(Merged_Clinical_Finance_Data[[#This Row],[Admission_Date]],-1)+1</f>
        <v>45748</v>
      </c>
      <c r="AB261" s="1">
        <f>Merged_Clinical_Finance_Data[[#This Row],[Daily_Bed_Cost_GBP]]*Merged_Clinical_Finance_Data[[#This Row],[Length_of_Stay_Days]]</f>
        <v>3640</v>
      </c>
      <c r="AC261" t="str">
        <f>IF(Merged_Clinical_Finance_Data[[#This Row],[Total_Encounter_Cost_Naira]]&gt;AVERAGE(Merged_Clinical_Finance_Data[[#This Row],[Total_Encounter_Cost_Naira]]),"High","Normal")</f>
        <v>Normal</v>
      </c>
    </row>
    <row r="262" spans="1:29" x14ac:dyDescent="0.25">
      <c r="A262" t="s">
        <v>386</v>
      </c>
      <c r="B262" t="s">
        <v>30</v>
      </c>
      <c r="C262" t="s">
        <v>31</v>
      </c>
      <c r="D262" t="s">
        <v>32</v>
      </c>
      <c r="E262" s="3">
        <v>45699</v>
      </c>
      <c r="F262" s="3">
        <v>45702</v>
      </c>
      <c r="G262">
        <v>3.3</v>
      </c>
      <c r="H262">
        <v>87</v>
      </c>
      <c r="I262" t="s">
        <v>33</v>
      </c>
      <c r="J262" t="s">
        <v>51</v>
      </c>
      <c r="K262" t="s">
        <v>45</v>
      </c>
      <c r="L262" t="s">
        <v>46</v>
      </c>
      <c r="M262" t="s">
        <v>54</v>
      </c>
      <c r="N262" t="s">
        <v>38</v>
      </c>
      <c r="O262">
        <v>19</v>
      </c>
      <c r="P262">
        <v>30</v>
      </c>
      <c r="Q262">
        <v>0.63329999999999997</v>
      </c>
      <c r="R262">
        <v>350</v>
      </c>
      <c r="S262" s="1">
        <v>1155</v>
      </c>
      <c r="T262" t="s">
        <v>84</v>
      </c>
      <c r="U262" t="s">
        <v>85</v>
      </c>
      <c r="V262" s="1">
        <v>2963.4</v>
      </c>
      <c r="W262" s="2">
        <f>Merged_Clinical_Finance_Data[[#This Row],[Occupied_Beds]]/Merged_Clinical_Finance_Data[[#This Row],[Total_Beds]]</f>
        <v>0.6333333333333333</v>
      </c>
      <c r="X262">
        <f>IF(Merged_Clinical_Finance_Data[[#This Row],[30Day_Readmission]]="Yes",1,0)</f>
        <v>0</v>
      </c>
      <c r="Y262" t="str" cm="1">
        <f t="array" ref="Y26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262" t="str" cm="1">
        <f t="array" ref="Z262">_xlfn.IFS(Merged_Clinical_Finance_Data[[#This Row],[Length_of_Stay_Days]]&lt;3,"Short (&lt;3)",Merged_Clinical_Finance_Data[[#This Row],[Length_of_Stay_Days]]&lt;=7,"Medium (3-7)",TRUE,"Long (&gt;7)")</f>
        <v>Medium (3-7)</v>
      </c>
      <c r="AA262" s="3">
        <f>EOMONTH(Merged_Clinical_Finance_Data[[#This Row],[Admission_Date]],-1)+1</f>
        <v>45689</v>
      </c>
      <c r="AB262" s="1">
        <f>Merged_Clinical_Finance_Data[[#This Row],[Daily_Bed_Cost_GBP]]*Merged_Clinical_Finance_Data[[#This Row],[Length_of_Stay_Days]]</f>
        <v>1155</v>
      </c>
      <c r="AC262" t="str">
        <f>IF(Merged_Clinical_Finance_Data[[#This Row],[Total_Encounter_Cost_Naira]]&gt;AVERAGE(Merged_Clinical_Finance_Data[[#This Row],[Total_Encounter_Cost_Naira]]),"High","Normal")</f>
        <v>Normal</v>
      </c>
    </row>
    <row r="263" spans="1:29" x14ac:dyDescent="0.25">
      <c r="A263" t="s">
        <v>387</v>
      </c>
      <c r="B263" t="s">
        <v>102</v>
      </c>
      <c r="C263" t="s">
        <v>103</v>
      </c>
      <c r="D263" t="s">
        <v>42</v>
      </c>
      <c r="E263" s="3">
        <v>45685</v>
      </c>
      <c r="F263" s="3">
        <v>45687</v>
      </c>
      <c r="G263">
        <v>2.5</v>
      </c>
      <c r="H263">
        <v>30</v>
      </c>
      <c r="I263" t="s">
        <v>33</v>
      </c>
      <c r="J263" t="s">
        <v>51</v>
      </c>
      <c r="K263" t="s">
        <v>104</v>
      </c>
      <c r="L263" t="s">
        <v>124</v>
      </c>
      <c r="M263" t="s">
        <v>54</v>
      </c>
      <c r="N263" t="s">
        <v>38</v>
      </c>
      <c r="O263">
        <v>23</v>
      </c>
      <c r="P263">
        <v>30</v>
      </c>
      <c r="Q263">
        <v>0.76670000000000005</v>
      </c>
      <c r="R263">
        <v>510</v>
      </c>
      <c r="S263" s="1">
        <v>1275</v>
      </c>
      <c r="T263" t="s">
        <v>64</v>
      </c>
      <c r="U263" t="s">
        <v>65</v>
      </c>
      <c r="V263" s="1">
        <v>1487.44</v>
      </c>
      <c r="W263" s="2">
        <f>Merged_Clinical_Finance_Data[[#This Row],[Occupied_Beds]]/Merged_Clinical_Finance_Data[[#This Row],[Total_Beds]]</f>
        <v>0.76666666666666672</v>
      </c>
      <c r="X263">
        <f>IF(Merged_Clinical_Finance_Data[[#This Row],[30Day_Readmission]]="Yes",1,0)</f>
        <v>0</v>
      </c>
      <c r="Y263" t="str" cm="1">
        <f t="array" ref="Y26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63" t="str" cm="1">
        <f t="array" ref="Z263">_xlfn.IFS(Merged_Clinical_Finance_Data[[#This Row],[Length_of_Stay_Days]]&lt;3,"Short (&lt;3)",Merged_Clinical_Finance_Data[[#This Row],[Length_of_Stay_Days]]&lt;=7,"Medium (3-7)",TRUE,"Long (&gt;7)")</f>
        <v>Short (&lt;3)</v>
      </c>
      <c r="AA263" s="3">
        <f>EOMONTH(Merged_Clinical_Finance_Data[[#This Row],[Admission_Date]],-1)+1</f>
        <v>45658</v>
      </c>
      <c r="AB263" s="1">
        <f>Merged_Clinical_Finance_Data[[#This Row],[Daily_Bed_Cost_GBP]]*Merged_Clinical_Finance_Data[[#This Row],[Length_of_Stay_Days]]</f>
        <v>1275</v>
      </c>
      <c r="AC263" t="str">
        <f>IF(Merged_Clinical_Finance_Data[[#This Row],[Total_Encounter_Cost_Naira]]&gt;AVERAGE(Merged_Clinical_Finance_Data[[#This Row],[Total_Encounter_Cost_Naira]]),"High","Normal")</f>
        <v>Normal</v>
      </c>
    </row>
    <row r="264" spans="1:29" x14ac:dyDescent="0.25">
      <c r="A264" t="s">
        <v>388</v>
      </c>
      <c r="B264" t="s">
        <v>79</v>
      </c>
      <c r="C264" t="s">
        <v>80</v>
      </c>
      <c r="D264" t="s">
        <v>60</v>
      </c>
      <c r="E264" s="3">
        <v>45843</v>
      </c>
      <c r="F264" s="3">
        <v>45844</v>
      </c>
      <c r="G264">
        <v>1.8</v>
      </c>
      <c r="H264">
        <v>49</v>
      </c>
      <c r="I264" t="s">
        <v>43</v>
      </c>
      <c r="J264" t="s">
        <v>44</v>
      </c>
      <c r="K264" t="s">
        <v>87</v>
      </c>
      <c r="L264" t="s">
        <v>88</v>
      </c>
      <c r="M264" t="s">
        <v>47</v>
      </c>
      <c r="N264" t="s">
        <v>38</v>
      </c>
      <c r="O264">
        <v>18</v>
      </c>
      <c r="P264">
        <v>30</v>
      </c>
      <c r="Q264">
        <v>0.6</v>
      </c>
      <c r="R264">
        <v>510</v>
      </c>
      <c r="S264" s="1">
        <v>918</v>
      </c>
      <c r="T264" t="s">
        <v>96</v>
      </c>
      <c r="U264" t="s">
        <v>97</v>
      </c>
      <c r="V264" s="1">
        <v>2255.96</v>
      </c>
      <c r="W264" s="2">
        <f>Merged_Clinical_Finance_Data[[#This Row],[Occupied_Beds]]/Merged_Clinical_Finance_Data[[#This Row],[Total_Beds]]</f>
        <v>0.6</v>
      </c>
      <c r="X264">
        <f>IF(Merged_Clinical_Finance_Data[[#This Row],[30Day_Readmission]]="Yes",1,0)</f>
        <v>0</v>
      </c>
      <c r="Y264" t="str" cm="1">
        <f t="array" ref="Y26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64" t="str" cm="1">
        <f t="array" ref="Z264">_xlfn.IFS(Merged_Clinical_Finance_Data[[#This Row],[Length_of_Stay_Days]]&lt;3,"Short (&lt;3)",Merged_Clinical_Finance_Data[[#This Row],[Length_of_Stay_Days]]&lt;=7,"Medium (3-7)",TRUE,"Long (&gt;7)")</f>
        <v>Short (&lt;3)</v>
      </c>
      <c r="AA264" s="3">
        <f>EOMONTH(Merged_Clinical_Finance_Data[[#This Row],[Admission_Date]],-1)+1</f>
        <v>45839</v>
      </c>
      <c r="AB264" s="1">
        <f>Merged_Clinical_Finance_Data[[#This Row],[Daily_Bed_Cost_GBP]]*Merged_Clinical_Finance_Data[[#This Row],[Length_of_Stay_Days]]</f>
        <v>918</v>
      </c>
      <c r="AC264" t="str">
        <f>IF(Merged_Clinical_Finance_Data[[#This Row],[Total_Encounter_Cost_Naira]]&gt;AVERAGE(Merged_Clinical_Finance_Data[[#This Row],[Total_Encounter_Cost_Naira]]),"High","Normal")</f>
        <v>Normal</v>
      </c>
    </row>
    <row r="265" spans="1:29" x14ac:dyDescent="0.25">
      <c r="A265" t="s">
        <v>389</v>
      </c>
      <c r="B265" t="s">
        <v>67</v>
      </c>
      <c r="C265" t="s">
        <v>68</v>
      </c>
      <c r="D265" t="s">
        <v>42</v>
      </c>
      <c r="E265" s="3">
        <v>45699</v>
      </c>
      <c r="F265" s="3">
        <v>45702</v>
      </c>
      <c r="G265">
        <v>3.2</v>
      </c>
      <c r="H265">
        <v>87</v>
      </c>
      <c r="I265" t="s">
        <v>33</v>
      </c>
      <c r="J265" t="s">
        <v>61</v>
      </c>
      <c r="K265" t="s">
        <v>76</v>
      </c>
      <c r="L265" t="s">
        <v>176</v>
      </c>
      <c r="M265" t="s">
        <v>47</v>
      </c>
      <c r="N265" t="s">
        <v>38</v>
      </c>
      <c r="O265">
        <v>27</v>
      </c>
      <c r="P265">
        <v>30</v>
      </c>
      <c r="Q265">
        <v>0.9</v>
      </c>
      <c r="R265">
        <v>375</v>
      </c>
      <c r="S265" s="1">
        <v>1200</v>
      </c>
      <c r="T265" t="s">
        <v>136</v>
      </c>
      <c r="U265" t="s">
        <v>137</v>
      </c>
      <c r="V265" s="1">
        <v>1935.58</v>
      </c>
      <c r="W265" s="2">
        <f>Merged_Clinical_Finance_Data[[#This Row],[Occupied_Beds]]/Merged_Clinical_Finance_Data[[#This Row],[Total_Beds]]</f>
        <v>0.9</v>
      </c>
      <c r="X265">
        <f>IF(Merged_Clinical_Finance_Data[[#This Row],[30Day_Readmission]]="Yes",1,0)</f>
        <v>0</v>
      </c>
      <c r="Y265" t="str" cm="1">
        <f t="array" ref="Y26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265" t="str" cm="1">
        <f t="array" ref="Z265">_xlfn.IFS(Merged_Clinical_Finance_Data[[#This Row],[Length_of_Stay_Days]]&lt;3,"Short (&lt;3)",Merged_Clinical_Finance_Data[[#This Row],[Length_of_Stay_Days]]&lt;=7,"Medium (3-7)",TRUE,"Long (&gt;7)")</f>
        <v>Medium (3-7)</v>
      </c>
      <c r="AA265" s="3">
        <f>EOMONTH(Merged_Clinical_Finance_Data[[#This Row],[Admission_Date]],-1)+1</f>
        <v>45689</v>
      </c>
      <c r="AB265" s="1">
        <f>Merged_Clinical_Finance_Data[[#This Row],[Daily_Bed_Cost_GBP]]*Merged_Clinical_Finance_Data[[#This Row],[Length_of_Stay_Days]]</f>
        <v>1200</v>
      </c>
      <c r="AC265" t="str">
        <f>IF(Merged_Clinical_Finance_Data[[#This Row],[Total_Encounter_Cost_Naira]]&gt;AVERAGE(Merged_Clinical_Finance_Data[[#This Row],[Total_Encounter_Cost_Naira]]),"High","Normal")</f>
        <v>Normal</v>
      </c>
    </row>
    <row r="266" spans="1:29" x14ac:dyDescent="0.25">
      <c r="A266" t="s">
        <v>390</v>
      </c>
      <c r="B266" t="s">
        <v>107</v>
      </c>
      <c r="C266" t="s">
        <v>108</v>
      </c>
      <c r="D266" t="s">
        <v>32</v>
      </c>
      <c r="E266" s="3">
        <v>46005</v>
      </c>
      <c r="F266" s="3">
        <v>46008</v>
      </c>
      <c r="G266">
        <v>3.8</v>
      </c>
      <c r="H266">
        <v>51</v>
      </c>
      <c r="I266" t="s">
        <v>33</v>
      </c>
      <c r="J266" t="s">
        <v>81</v>
      </c>
      <c r="K266" t="s">
        <v>109</v>
      </c>
      <c r="L266" t="s">
        <v>110</v>
      </c>
      <c r="M266" t="s">
        <v>47</v>
      </c>
      <c r="N266" t="s">
        <v>38</v>
      </c>
      <c r="O266">
        <v>20</v>
      </c>
      <c r="P266">
        <v>30</v>
      </c>
      <c r="Q266">
        <v>0.66669999999999996</v>
      </c>
      <c r="R266">
        <v>400</v>
      </c>
      <c r="S266" s="1">
        <v>1520</v>
      </c>
      <c r="T266" t="s">
        <v>55</v>
      </c>
      <c r="U266" t="s">
        <v>56</v>
      </c>
      <c r="V266" s="1">
        <v>918.24</v>
      </c>
      <c r="W266" s="2">
        <f>Merged_Clinical_Finance_Data[[#This Row],[Occupied_Beds]]/Merged_Clinical_Finance_Data[[#This Row],[Total_Beds]]</f>
        <v>0.66666666666666663</v>
      </c>
      <c r="X266">
        <f>IF(Merged_Clinical_Finance_Data[[#This Row],[30Day_Readmission]]="Yes",1,0)</f>
        <v>0</v>
      </c>
      <c r="Y266" t="str" cm="1">
        <f t="array" ref="Y26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66" t="str" cm="1">
        <f t="array" ref="Z266">_xlfn.IFS(Merged_Clinical_Finance_Data[[#This Row],[Length_of_Stay_Days]]&lt;3,"Short (&lt;3)",Merged_Clinical_Finance_Data[[#This Row],[Length_of_Stay_Days]]&lt;=7,"Medium (3-7)",TRUE,"Long (&gt;7)")</f>
        <v>Medium (3-7)</v>
      </c>
      <c r="AA266" s="3">
        <f>EOMONTH(Merged_Clinical_Finance_Data[[#This Row],[Admission_Date]],-1)+1</f>
        <v>45992</v>
      </c>
      <c r="AB266" s="1">
        <f>Merged_Clinical_Finance_Data[[#This Row],[Daily_Bed_Cost_GBP]]*Merged_Clinical_Finance_Data[[#This Row],[Length_of_Stay_Days]]</f>
        <v>1520</v>
      </c>
      <c r="AC266" t="str">
        <f>IF(Merged_Clinical_Finance_Data[[#This Row],[Total_Encounter_Cost_Naira]]&gt;AVERAGE(Merged_Clinical_Finance_Data[[#This Row],[Total_Encounter_Cost_Naira]]),"High","Normal")</f>
        <v>Normal</v>
      </c>
    </row>
    <row r="267" spans="1:29" x14ac:dyDescent="0.25">
      <c r="A267" t="s">
        <v>391</v>
      </c>
      <c r="B267" t="s">
        <v>30</v>
      </c>
      <c r="C267" t="s">
        <v>31</v>
      </c>
      <c r="D267" t="s">
        <v>60</v>
      </c>
      <c r="E267" s="3">
        <v>45934</v>
      </c>
      <c r="F267" s="3">
        <v>45936</v>
      </c>
      <c r="G267">
        <v>2.1</v>
      </c>
      <c r="H267">
        <v>50</v>
      </c>
      <c r="I267" t="s">
        <v>43</v>
      </c>
      <c r="J267" t="s">
        <v>44</v>
      </c>
      <c r="K267" t="s">
        <v>45</v>
      </c>
      <c r="L267" t="s">
        <v>36</v>
      </c>
      <c r="M267" t="s">
        <v>47</v>
      </c>
      <c r="N267" t="s">
        <v>38</v>
      </c>
      <c r="O267">
        <v>27</v>
      </c>
      <c r="P267">
        <v>30</v>
      </c>
      <c r="Q267">
        <v>0.9</v>
      </c>
      <c r="R267">
        <v>450</v>
      </c>
      <c r="S267" s="1">
        <v>945</v>
      </c>
      <c r="T267" t="s">
        <v>39</v>
      </c>
      <c r="U267" t="s">
        <v>40</v>
      </c>
      <c r="V267" s="1">
        <v>1214.26</v>
      </c>
      <c r="W267" s="2">
        <f>Merged_Clinical_Finance_Data[[#This Row],[Occupied_Beds]]/Merged_Clinical_Finance_Data[[#This Row],[Total_Beds]]</f>
        <v>0.9</v>
      </c>
      <c r="X267">
        <f>IF(Merged_Clinical_Finance_Data[[#This Row],[30Day_Readmission]]="Yes",1,0)</f>
        <v>0</v>
      </c>
      <c r="Y267" t="str" cm="1">
        <f t="array" ref="Y26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67" t="str" cm="1">
        <f t="array" ref="Z267">_xlfn.IFS(Merged_Clinical_Finance_Data[[#This Row],[Length_of_Stay_Days]]&lt;3,"Short (&lt;3)",Merged_Clinical_Finance_Data[[#This Row],[Length_of_Stay_Days]]&lt;=7,"Medium (3-7)",TRUE,"Long (&gt;7)")</f>
        <v>Short (&lt;3)</v>
      </c>
      <c r="AA267" s="3">
        <f>EOMONTH(Merged_Clinical_Finance_Data[[#This Row],[Admission_Date]],-1)+1</f>
        <v>45931</v>
      </c>
      <c r="AB267" s="1">
        <f>Merged_Clinical_Finance_Data[[#This Row],[Daily_Bed_Cost_GBP]]*Merged_Clinical_Finance_Data[[#This Row],[Length_of_Stay_Days]]</f>
        <v>945</v>
      </c>
      <c r="AC267" t="str">
        <f>IF(Merged_Clinical_Finance_Data[[#This Row],[Total_Encounter_Cost_Naira]]&gt;AVERAGE(Merged_Clinical_Finance_Data[[#This Row],[Total_Encounter_Cost_Naira]]),"High","Normal")</f>
        <v>Normal</v>
      </c>
    </row>
    <row r="268" spans="1:29" x14ac:dyDescent="0.25">
      <c r="A268" t="s">
        <v>392</v>
      </c>
      <c r="B268" t="s">
        <v>58</v>
      </c>
      <c r="C268" t="s">
        <v>59</v>
      </c>
      <c r="D268" t="s">
        <v>42</v>
      </c>
      <c r="E268" s="3">
        <v>45902</v>
      </c>
      <c r="F268" s="3">
        <v>45909</v>
      </c>
      <c r="G268">
        <v>7.2</v>
      </c>
      <c r="H268">
        <v>68</v>
      </c>
      <c r="I268" t="s">
        <v>33</v>
      </c>
      <c r="J268" t="s">
        <v>51</v>
      </c>
      <c r="K268" t="s">
        <v>95</v>
      </c>
      <c r="L268" t="s">
        <v>63</v>
      </c>
      <c r="M268" t="s">
        <v>74</v>
      </c>
      <c r="N268" t="s">
        <v>38</v>
      </c>
      <c r="O268">
        <v>21</v>
      </c>
      <c r="P268">
        <v>30</v>
      </c>
      <c r="Q268">
        <v>0.7</v>
      </c>
      <c r="R268">
        <v>450</v>
      </c>
      <c r="S268" s="1">
        <v>3240</v>
      </c>
      <c r="T268" t="s">
        <v>84</v>
      </c>
      <c r="U268" t="s">
        <v>85</v>
      </c>
      <c r="V268" s="1">
        <v>4234.47</v>
      </c>
      <c r="W268" s="2">
        <f>Merged_Clinical_Finance_Data[[#This Row],[Occupied_Beds]]/Merged_Clinical_Finance_Data[[#This Row],[Total_Beds]]</f>
        <v>0.7</v>
      </c>
      <c r="X268">
        <f>IF(Merged_Clinical_Finance_Data[[#This Row],[30Day_Readmission]]="Yes",1,0)</f>
        <v>0</v>
      </c>
      <c r="Y268" t="str" cm="1">
        <f t="array" ref="Y26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268" t="str" cm="1">
        <f t="array" ref="Z268">_xlfn.IFS(Merged_Clinical_Finance_Data[[#This Row],[Length_of_Stay_Days]]&lt;3,"Short (&lt;3)",Merged_Clinical_Finance_Data[[#This Row],[Length_of_Stay_Days]]&lt;=7,"Medium (3-7)",TRUE,"Long (&gt;7)")</f>
        <v>Long (&gt;7)</v>
      </c>
      <c r="AA268" s="3">
        <f>EOMONTH(Merged_Clinical_Finance_Data[[#This Row],[Admission_Date]],-1)+1</f>
        <v>45901</v>
      </c>
      <c r="AB268" s="1">
        <f>Merged_Clinical_Finance_Data[[#This Row],[Daily_Bed_Cost_GBP]]*Merged_Clinical_Finance_Data[[#This Row],[Length_of_Stay_Days]]</f>
        <v>3240</v>
      </c>
      <c r="AC268" t="str">
        <f>IF(Merged_Clinical_Finance_Data[[#This Row],[Total_Encounter_Cost_Naira]]&gt;AVERAGE(Merged_Clinical_Finance_Data[[#This Row],[Total_Encounter_Cost_Naira]]),"High","Normal")</f>
        <v>Normal</v>
      </c>
    </row>
    <row r="269" spans="1:29" x14ac:dyDescent="0.25">
      <c r="A269" t="s">
        <v>393</v>
      </c>
      <c r="B269" t="s">
        <v>49</v>
      </c>
      <c r="C269" t="s">
        <v>50</v>
      </c>
      <c r="D269" t="s">
        <v>60</v>
      </c>
      <c r="E269" s="3">
        <v>45982</v>
      </c>
      <c r="F269" s="3">
        <v>45991</v>
      </c>
      <c r="G269">
        <v>9.6</v>
      </c>
      <c r="H269">
        <v>35</v>
      </c>
      <c r="I269" t="s">
        <v>43</v>
      </c>
      <c r="J269" t="s">
        <v>81</v>
      </c>
      <c r="K269" t="s">
        <v>52</v>
      </c>
      <c r="L269" t="s">
        <v>179</v>
      </c>
      <c r="M269" t="s">
        <v>47</v>
      </c>
      <c r="N269" t="s">
        <v>38</v>
      </c>
      <c r="O269">
        <v>12</v>
      </c>
      <c r="P269">
        <v>30</v>
      </c>
      <c r="Q269">
        <v>0.4</v>
      </c>
      <c r="R269">
        <v>350</v>
      </c>
      <c r="S269" s="1">
        <v>3360</v>
      </c>
      <c r="T269" t="s">
        <v>55</v>
      </c>
      <c r="U269" t="s">
        <v>56</v>
      </c>
      <c r="V269" s="1">
        <v>1076.49</v>
      </c>
      <c r="W269" s="2">
        <f>Merged_Clinical_Finance_Data[[#This Row],[Occupied_Beds]]/Merged_Clinical_Finance_Data[[#This Row],[Total_Beds]]</f>
        <v>0.4</v>
      </c>
      <c r="X269">
        <f>IF(Merged_Clinical_Finance_Data[[#This Row],[30Day_Readmission]]="Yes",1,0)</f>
        <v>0</v>
      </c>
      <c r="Y269" t="str" cm="1">
        <f t="array" ref="Y26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69" t="str" cm="1">
        <f t="array" ref="Z269">_xlfn.IFS(Merged_Clinical_Finance_Data[[#This Row],[Length_of_Stay_Days]]&lt;3,"Short (&lt;3)",Merged_Clinical_Finance_Data[[#This Row],[Length_of_Stay_Days]]&lt;=7,"Medium (3-7)",TRUE,"Long (&gt;7)")</f>
        <v>Long (&gt;7)</v>
      </c>
      <c r="AA269" s="3">
        <f>EOMONTH(Merged_Clinical_Finance_Data[[#This Row],[Admission_Date]],-1)+1</f>
        <v>45962</v>
      </c>
      <c r="AB269" s="1">
        <f>Merged_Clinical_Finance_Data[[#This Row],[Daily_Bed_Cost_GBP]]*Merged_Clinical_Finance_Data[[#This Row],[Length_of_Stay_Days]]</f>
        <v>3360</v>
      </c>
      <c r="AC269" t="str">
        <f>IF(Merged_Clinical_Finance_Data[[#This Row],[Total_Encounter_Cost_Naira]]&gt;AVERAGE(Merged_Clinical_Finance_Data[[#This Row],[Total_Encounter_Cost_Naira]]),"High","Normal")</f>
        <v>Normal</v>
      </c>
    </row>
    <row r="270" spans="1:29" x14ac:dyDescent="0.25">
      <c r="A270" t="s">
        <v>394</v>
      </c>
      <c r="B270" t="s">
        <v>79</v>
      </c>
      <c r="C270" t="s">
        <v>80</v>
      </c>
      <c r="D270" t="s">
        <v>42</v>
      </c>
      <c r="E270" s="3">
        <v>45990</v>
      </c>
      <c r="F270" s="3">
        <v>45994</v>
      </c>
      <c r="G270">
        <v>4.4000000000000004</v>
      </c>
      <c r="H270">
        <v>48</v>
      </c>
      <c r="I270" t="s">
        <v>43</v>
      </c>
      <c r="J270" t="s">
        <v>34</v>
      </c>
      <c r="K270" t="s">
        <v>87</v>
      </c>
      <c r="L270" t="s">
        <v>83</v>
      </c>
      <c r="M270" t="s">
        <v>47</v>
      </c>
      <c r="N270" t="s">
        <v>38</v>
      </c>
      <c r="O270">
        <v>21</v>
      </c>
      <c r="P270">
        <v>30</v>
      </c>
      <c r="Q270">
        <v>0.7</v>
      </c>
      <c r="R270">
        <v>450</v>
      </c>
      <c r="S270" s="1">
        <v>1980</v>
      </c>
      <c r="T270" t="s">
        <v>96</v>
      </c>
      <c r="U270" t="s">
        <v>97</v>
      </c>
      <c r="V270" s="1">
        <v>2475.7800000000002</v>
      </c>
      <c r="W270" s="2">
        <f>Merged_Clinical_Finance_Data[[#This Row],[Occupied_Beds]]/Merged_Clinical_Finance_Data[[#This Row],[Total_Beds]]</f>
        <v>0.7</v>
      </c>
      <c r="X270">
        <f>IF(Merged_Clinical_Finance_Data[[#This Row],[30Day_Readmission]]="Yes",1,0)</f>
        <v>0</v>
      </c>
      <c r="Y270" t="str" cm="1">
        <f t="array" ref="Y27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70" t="str" cm="1">
        <f t="array" ref="Z270">_xlfn.IFS(Merged_Clinical_Finance_Data[[#This Row],[Length_of_Stay_Days]]&lt;3,"Short (&lt;3)",Merged_Clinical_Finance_Data[[#This Row],[Length_of_Stay_Days]]&lt;=7,"Medium (3-7)",TRUE,"Long (&gt;7)")</f>
        <v>Medium (3-7)</v>
      </c>
      <c r="AA270" s="3">
        <f>EOMONTH(Merged_Clinical_Finance_Data[[#This Row],[Admission_Date]],-1)+1</f>
        <v>45962</v>
      </c>
      <c r="AB270" s="1">
        <f>Merged_Clinical_Finance_Data[[#This Row],[Daily_Bed_Cost_GBP]]*Merged_Clinical_Finance_Data[[#This Row],[Length_of_Stay_Days]]</f>
        <v>1980.0000000000002</v>
      </c>
      <c r="AC270" t="str">
        <f>IF(Merged_Clinical_Finance_Data[[#This Row],[Total_Encounter_Cost_Naira]]&gt;AVERAGE(Merged_Clinical_Finance_Data[[#This Row],[Total_Encounter_Cost_Naira]]),"High","Normal")</f>
        <v>Normal</v>
      </c>
    </row>
    <row r="271" spans="1:29" x14ac:dyDescent="0.25">
      <c r="A271" t="s">
        <v>395</v>
      </c>
      <c r="B271" t="s">
        <v>58</v>
      </c>
      <c r="C271" t="s">
        <v>59</v>
      </c>
      <c r="D271" t="s">
        <v>42</v>
      </c>
      <c r="E271" s="3">
        <v>45931</v>
      </c>
      <c r="F271" s="3">
        <v>45936</v>
      </c>
      <c r="G271">
        <v>5</v>
      </c>
      <c r="H271">
        <v>40</v>
      </c>
      <c r="I271" t="s">
        <v>43</v>
      </c>
      <c r="J271" t="s">
        <v>61</v>
      </c>
      <c r="K271" t="s">
        <v>62</v>
      </c>
      <c r="L271" t="s">
        <v>291</v>
      </c>
      <c r="M271" t="s">
        <v>47</v>
      </c>
      <c r="N271" t="s">
        <v>38</v>
      </c>
      <c r="O271">
        <v>24</v>
      </c>
      <c r="P271">
        <v>30</v>
      </c>
      <c r="Q271">
        <v>0.8</v>
      </c>
      <c r="R271">
        <v>350</v>
      </c>
      <c r="S271" s="1">
        <v>1750</v>
      </c>
      <c r="T271" t="s">
        <v>84</v>
      </c>
      <c r="U271" t="s">
        <v>85</v>
      </c>
      <c r="V271" s="1">
        <v>5325.04</v>
      </c>
      <c r="W271" s="2">
        <f>Merged_Clinical_Finance_Data[[#This Row],[Occupied_Beds]]/Merged_Clinical_Finance_Data[[#This Row],[Total_Beds]]</f>
        <v>0.8</v>
      </c>
      <c r="X271">
        <f>IF(Merged_Clinical_Finance_Data[[#This Row],[30Day_Readmission]]="Yes",1,0)</f>
        <v>0</v>
      </c>
      <c r="Y271" t="str" cm="1">
        <f t="array" ref="Y27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71" t="str" cm="1">
        <f t="array" ref="Z271">_xlfn.IFS(Merged_Clinical_Finance_Data[[#This Row],[Length_of_Stay_Days]]&lt;3,"Short (&lt;3)",Merged_Clinical_Finance_Data[[#This Row],[Length_of_Stay_Days]]&lt;=7,"Medium (3-7)",TRUE,"Long (&gt;7)")</f>
        <v>Medium (3-7)</v>
      </c>
      <c r="AA271" s="3">
        <f>EOMONTH(Merged_Clinical_Finance_Data[[#This Row],[Admission_Date]],-1)+1</f>
        <v>45931</v>
      </c>
      <c r="AB271" s="1">
        <f>Merged_Clinical_Finance_Data[[#This Row],[Daily_Bed_Cost_GBP]]*Merged_Clinical_Finance_Data[[#This Row],[Length_of_Stay_Days]]</f>
        <v>1750</v>
      </c>
      <c r="AC271" t="str">
        <f>IF(Merged_Clinical_Finance_Data[[#This Row],[Total_Encounter_Cost_Naira]]&gt;AVERAGE(Merged_Clinical_Finance_Data[[#This Row],[Total_Encounter_Cost_Naira]]),"High","Normal")</f>
        <v>Normal</v>
      </c>
    </row>
    <row r="272" spans="1:29" x14ac:dyDescent="0.25">
      <c r="A272" t="s">
        <v>396</v>
      </c>
      <c r="B272" t="s">
        <v>79</v>
      </c>
      <c r="C272" t="s">
        <v>80</v>
      </c>
      <c r="D272" t="s">
        <v>42</v>
      </c>
      <c r="E272" s="3">
        <v>45860</v>
      </c>
      <c r="F272" s="3">
        <v>45861</v>
      </c>
      <c r="G272">
        <v>1.9</v>
      </c>
      <c r="H272">
        <v>41</v>
      </c>
      <c r="I272" t="s">
        <v>33</v>
      </c>
      <c r="J272" t="s">
        <v>51</v>
      </c>
      <c r="K272" t="s">
        <v>82</v>
      </c>
      <c r="L272" t="s">
        <v>145</v>
      </c>
      <c r="M272" t="s">
        <v>54</v>
      </c>
      <c r="N272" t="s">
        <v>38</v>
      </c>
      <c r="O272">
        <v>19</v>
      </c>
      <c r="P272">
        <v>30</v>
      </c>
      <c r="Q272">
        <v>0.63329999999999997</v>
      </c>
      <c r="R272">
        <v>480</v>
      </c>
      <c r="S272" s="1">
        <v>912</v>
      </c>
      <c r="T272" t="s">
        <v>64</v>
      </c>
      <c r="U272" t="s">
        <v>65</v>
      </c>
      <c r="V272" s="1">
        <v>2488.35</v>
      </c>
      <c r="W272" s="2">
        <f>Merged_Clinical_Finance_Data[[#This Row],[Occupied_Beds]]/Merged_Clinical_Finance_Data[[#This Row],[Total_Beds]]</f>
        <v>0.6333333333333333</v>
      </c>
      <c r="X272">
        <f>IF(Merged_Clinical_Finance_Data[[#This Row],[30Day_Readmission]]="Yes",1,0)</f>
        <v>0</v>
      </c>
      <c r="Y272" t="str" cm="1">
        <f t="array" ref="Y27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72" t="str" cm="1">
        <f t="array" ref="Z272">_xlfn.IFS(Merged_Clinical_Finance_Data[[#This Row],[Length_of_Stay_Days]]&lt;3,"Short (&lt;3)",Merged_Clinical_Finance_Data[[#This Row],[Length_of_Stay_Days]]&lt;=7,"Medium (3-7)",TRUE,"Long (&gt;7)")</f>
        <v>Short (&lt;3)</v>
      </c>
      <c r="AA272" s="3">
        <f>EOMONTH(Merged_Clinical_Finance_Data[[#This Row],[Admission_Date]],-1)+1</f>
        <v>45839</v>
      </c>
      <c r="AB272" s="1">
        <f>Merged_Clinical_Finance_Data[[#This Row],[Daily_Bed_Cost_GBP]]*Merged_Clinical_Finance_Data[[#This Row],[Length_of_Stay_Days]]</f>
        <v>912</v>
      </c>
      <c r="AC272" t="str">
        <f>IF(Merged_Clinical_Finance_Data[[#This Row],[Total_Encounter_Cost_Naira]]&gt;AVERAGE(Merged_Clinical_Finance_Data[[#This Row],[Total_Encounter_Cost_Naira]]),"High","Normal")</f>
        <v>Normal</v>
      </c>
    </row>
    <row r="273" spans="1:29" x14ac:dyDescent="0.25">
      <c r="A273" t="s">
        <v>397</v>
      </c>
      <c r="B273" t="s">
        <v>30</v>
      </c>
      <c r="C273" t="s">
        <v>31</v>
      </c>
      <c r="D273" t="s">
        <v>60</v>
      </c>
      <c r="E273" s="3">
        <v>45742</v>
      </c>
      <c r="F273" s="3">
        <v>45745</v>
      </c>
      <c r="G273">
        <v>3.5</v>
      </c>
      <c r="H273">
        <v>38</v>
      </c>
      <c r="I273" t="s">
        <v>43</v>
      </c>
      <c r="J273" t="s">
        <v>81</v>
      </c>
      <c r="K273" t="s">
        <v>35</v>
      </c>
      <c r="L273" t="s">
        <v>92</v>
      </c>
      <c r="M273" t="s">
        <v>47</v>
      </c>
      <c r="N273" t="s">
        <v>38</v>
      </c>
      <c r="O273">
        <v>26</v>
      </c>
      <c r="P273">
        <v>30</v>
      </c>
      <c r="Q273">
        <v>0.86670000000000003</v>
      </c>
      <c r="R273">
        <v>450</v>
      </c>
      <c r="S273" s="1">
        <v>1575</v>
      </c>
      <c r="T273" t="s">
        <v>64</v>
      </c>
      <c r="U273" t="s">
        <v>65</v>
      </c>
      <c r="V273" s="1">
        <v>2249.7800000000002</v>
      </c>
      <c r="W273" s="2">
        <f>Merged_Clinical_Finance_Data[[#This Row],[Occupied_Beds]]/Merged_Clinical_Finance_Data[[#This Row],[Total_Beds]]</f>
        <v>0.8666666666666667</v>
      </c>
      <c r="X273">
        <f>IF(Merged_Clinical_Finance_Data[[#This Row],[30Day_Readmission]]="Yes",1,0)</f>
        <v>0</v>
      </c>
      <c r="Y273" t="str" cm="1">
        <f t="array" ref="Y27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73" t="str" cm="1">
        <f t="array" ref="Z273">_xlfn.IFS(Merged_Clinical_Finance_Data[[#This Row],[Length_of_Stay_Days]]&lt;3,"Short (&lt;3)",Merged_Clinical_Finance_Data[[#This Row],[Length_of_Stay_Days]]&lt;=7,"Medium (3-7)",TRUE,"Long (&gt;7)")</f>
        <v>Medium (3-7)</v>
      </c>
      <c r="AA273" s="3">
        <f>EOMONTH(Merged_Clinical_Finance_Data[[#This Row],[Admission_Date]],-1)+1</f>
        <v>45717</v>
      </c>
      <c r="AB273" s="1">
        <f>Merged_Clinical_Finance_Data[[#This Row],[Daily_Bed_Cost_GBP]]*Merged_Clinical_Finance_Data[[#This Row],[Length_of_Stay_Days]]</f>
        <v>1575</v>
      </c>
      <c r="AC273" t="str">
        <f>IF(Merged_Clinical_Finance_Data[[#This Row],[Total_Encounter_Cost_Naira]]&gt;AVERAGE(Merged_Clinical_Finance_Data[[#This Row],[Total_Encounter_Cost_Naira]]),"High","Normal")</f>
        <v>Normal</v>
      </c>
    </row>
    <row r="274" spans="1:29" x14ac:dyDescent="0.25">
      <c r="A274" t="s">
        <v>398</v>
      </c>
      <c r="B274" t="s">
        <v>67</v>
      </c>
      <c r="C274" t="s">
        <v>68</v>
      </c>
      <c r="D274" t="s">
        <v>42</v>
      </c>
      <c r="E274" s="3">
        <v>45929</v>
      </c>
      <c r="F274" s="3">
        <v>45934</v>
      </c>
      <c r="G274">
        <v>5.2</v>
      </c>
      <c r="H274">
        <v>75</v>
      </c>
      <c r="I274" t="s">
        <v>33</v>
      </c>
      <c r="J274" t="s">
        <v>61</v>
      </c>
      <c r="K274" t="s">
        <v>69</v>
      </c>
      <c r="L274" t="s">
        <v>167</v>
      </c>
      <c r="M274" t="s">
        <v>37</v>
      </c>
      <c r="N274" t="s">
        <v>38</v>
      </c>
      <c r="O274">
        <v>19</v>
      </c>
      <c r="P274">
        <v>30</v>
      </c>
      <c r="Q274">
        <v>0.63329999999999997</v>
      </c>
      <c r="R274">
        <v>375</v>
      </c>
      <c r="S274" s="1">
        <v>1950</v>
      </c>
      <c r="T274" t="s">
        <v>96</v>
      </c>
      <c r="U274" t="s">
        <v>97</v>
      </c>
      <c r="V274" s="1">
        <v>902.25</v>
      </c>
      <c r="W274" s="2">
        <f>Merged_Clinical_Finance_Data[[#This Row],[Occupied_Beds]]/Merged_Clinical_Finance_Data[[#This Row],[Total_Beds]]</f>
        <v>0.6333333333333333</v>
      </c>
      <c r="X274">
        <f>IF(Merged_Clinical_Finance_Data[[#This Row],[30Day_Readmission]]="Yes",1,0)</f>
        <v>0</v>
      </c>
      <c r="Y274" t="str" cm="1">
        <f t="array" ref="Y27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274" t="str" cm="1">
        <f t="array" ref="Z274">_xlfn.IFS(Merged_Clinical_Finance_Data[[#This Row],[Length_of_Stay_Days]]&lt;3,"Short (&lt;3)",Merged_Clinical_Finance_Data[[#This Row],[Length_of_Stay_Days]]&lt;=7,"Medium (3-7)",TRUE,"Long (&gt;7)")</f>
        <v>Medium (3-7)</v>
      </c>
      <c r="AA274" s="3">
        <f>EOMONTH(Merged_Clinical_Finance_Data[[#This Row],[Admission_Date]],-1)+1</f>
        <v>45901</v>
      </c>
      <c r="AB274" s="1">
        <f>Merged_Clinical_Finance_Data[[#This Row],[Daily_Bed_Cost_GBP]]*Merged_Clinical_Finance_Data[[#This Row],[Length_of_Stay_Days]]</f>
        <v>1950</v>
      </c>
      <c r="AC274" t="str">
        <f>IF(Merged_Clinical_Finance_Data[[#This Row],[Total_Encounter_Cost_Naira]]&gt;AVERAGE(Merged_Clinical_Finance_Data[[#This Row],[Total_Encounter_Cost_Naira]]),"High","Normal")</f>
        <v>Normal</v>
      </c>
    </row>
    <row r="275" spans="1:29" x14ac:dyDescent="0.25">
      <c r="A275" t="s">
        <v>399</v>
      </c>
      <c r="B275" t="s">
        <v>114</v>
      </c>
      <c r="C275" t="s">
        <v>115</v>
      </c>
      <c r="D275" t="s">
        <v>42</v>
      </c>
      <c r="E275" s="3">
        <v>45748</v>
      </c>
      <c r="F275" s="3">
        <v>45757</v>
      </c>
      <c r="G275">
        <v>9.4</v>
      </c>
      <c r="H275">
        <v>56</v>
      </c>
      <c r="I275" t="s">
        <v>43</v>
      </c>
      <c r="J275" t="s">
        <v>81</v>
      </c>
      <c r="K275" t="s">
        <v>132</v>
      </c>
      <c r="L275" t="s">
        <v>139</v>
      </c>
      <c r="M275" t="s">
        <v>54</v>
      </c>
      <c r="N275" t="s">
        <v>38</v>
      </c>
      <c r="O275">
        <v>24</v>
      </c>
      <c r="P275">
        <v>30</v>
      </c>
      <c r="Q275">
        <v>0.8</v>
      </c>
      <c r="R275">
        <v>375</v>
      </c>
      <c r="S275" s="1">
        <v>3525</v>
      </c>
      <c r="T275" t="s">
        <v>111</v>
      </c>
      <c r="U275" t="s">
        <v>112</v>
      </c>
      <c r="V275" s="1">
        <v>1466.78</v>
      </c>
      <c r="W275" s="2">
        <f>Merged_Clinical_Finance_Data[[#This Row],[Occupied_Beds]]/Merged_Clinical_Finance_Data[[#This Row],[Total_Beds]]</f>
        <v>0.8</v>
      </c>
      <c r="X275">
        <f>IF(Merged_Clinical_Finance_Data[[#This Row],[30Day_Readmission]]="Yes",1,0)</f>
        <v>0</v>
      </c>
      <c r="Y275" t="str" cm="1">
        <f t="array" ref="Y27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75" t="str" cm="1">
        <f t="array" ref="Z275">_xlfn.IFS(Merged_Clinical_Finance_Data[[#This Row],[Length_of_Stay_Days]]&lt;3,"Short (&lt;3)",Merged_Clinical_Finance_Data[[#This Row],[Length_of_Stay_Days]]&lt;=7,"Medium (3-7)",TRUE,"Long (&gt;7)")</f>
        <v>Long (&gt;7)</v>
      </c>
      <c r="AA275" s="3">
        <f>EOMONTH(Merged_Clinical_Finance_Data[[#This Row],[Admission_Date]],-1)+1</f>
        <v>45748</v>
      </c>
      <c r="AB275" s="1">
        <f>Merged_Clinical_Finance_Data[[#This Row],[Daily_Bed_Cost_GBP]]*Merged_Clinical_Finance_Data[[#This Row],[Length_of_Stay_Days]]</f>
        <v>3525</v>
      </c>
      <c r="AC275" t="str">
        <f>IF(Merged_Clinical_Finance_Data[[#This Row],[Total_Encounter_Cost_Naira]]&gt;AVERAGE(Merged_Clinical_Finance_Data[[#This Row],[Total_Encounter_Cost_Naira]]),"High","Normal")</f>
        <v>Normal</v>
      </c>
    </row>
    <row r="276" spans="1:29" x14ac:dyDescent="0.25">
      <c r="A276" t="s">
        <v>400</v>
      </c>
      <c r="B276" t="s">
        <v>79</v>
      </c>
      <c r="C276" t="s">
        <v>80</v>
      </c>
      <c r="D276" t="s">
        <v>32</v>
      </c>
      <c r="E276" s="3">
        <v>45987</v>
      </c>
      <c r="F276" s="3">
        <v>45991</v>
      </c>
      <c r="G276">
        <v>4.2</v>
      </c>
      <c r="H276">
        <v>41</v>
      </c>
      <c r="I276" t="s">
        <v>33</v>
      </c>
      <c r="J276" t="s">
        <v>81</v>
      </c>
      <c r="K276" t="s">
        <v>82</v>
      </c>
      <c r="L276" t="s">
        <v>88</v>
      </c>
      <c r="M276" t="s">
        <v>54</v>
      </c>
      <c r="N276" t="s">
        <v>38</v>
      </c>
      <c r="O276">
        <v>18</v>
      </c>
      <c r="P276">
        <v>30</v>
      </c>
      <c r="Q276">
        <v>0.6</v>
      </c>
      <c r="R276">
        <v>375</v>
      </c>
      <c r="S276" s="1">
        <v>1575</v>
      </c>
      <c r="T276" t="s">
        <v>89</v>
      </c>
      <c r="U276" t="s">
        <v>90</v>
      </c>
      <c r="V276" s="1">
        <v>7211</v>
      </c>
      <c r="W276" s="2">
        <f>Merged_Clinical_Finance_Data[[#This Row],[Occupied_Beds]]/Merged_Clinical_Finance_Data[[#This Row],[Total_Beds]]</f>
        <v>0.6</v>
      </c>
      <c r="X276">
        <f>IF(Merged_Clinical_Finance_Data[[#This Row],[30Day_Readmission]]="Yes",1,0)</f>
        <v>0</v>
      </c>
      <c r="Y276" t="str" cm="1">
        <f t="array" ref="Y27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76" t="str" cm="1">
        <f t="array" ref="Z276">_xlfn.IFS(Merged_Clinical_Finance_Data[[#This Row],[Length_of_Stay_Days]]&lt;3,"Short (&lt;3)",Merged_Clinical_Finance_Data[[#This Row],[Length_of_Stay_Days]]&lt;=7,"Medium (3-7)",TRUE,"Long (&gt;7)")</f>
        <v>Medium (3-7)</v>
      </c>
      <c r="AA276" s="3">
        <f>EOMONTH(Merged_Clinical_Finance_Data[[#This Row],[Admission_Date]],-1)+1</f>
        <v>45962</v>
      </c>
      <c r="AB276" s="1">
        <f>Merged_Clinical_Finance_Data[[#This Row],[Daily_Bed_Cost_GBP]]*Merged_Clinical_Finance_Data[[#This Row],[Length_of_Stay_Days]]</f>
        <v>1575</v>
      </c>
      <c r="AC276" t="str">
        <f>IF(Merged_Clinical_Finance_Data[[#This Row],[Total_Encounter_Cost_Naira]]&gt;AVERAGE(Merged_Clinical_Finance_Data[[#This Row],[Total_Encounter_Cost_Naira]]),"High","Normal")</f>
        <v>Normal</v>
      </c>
    </row>
    <row r="277" spans="1:29" x14ac:dyDescent="0.25">
      <c r="A277" t="s">
        <v>401</v>
      </c>
      <c r="B277" t="s">
        <v>114</v>
      </c>
      <c r="C277" t="s">
        <v>115</v>
      </c>
      <c r="D277" t="s">
        <v>42</v>
      </c>
      <c r="E277" s="3">
        <v>45871</v>
      </c>
      <c r="F277" s="3">
        <v>45881</v>
      </c>
      <c r="G277">
        <v>10.1</v>
      </c>
      <c r="H277">
        <v>32</v>
      </c>
      <c r="I277" t="s">
        <v>43</v>
      </c>
      <c r="J277" t="s">
        <v>73</v>
      </c>
      <c r="K277" t="s">
        <v>132</v>
      </c>
      <c r="L277" t="s">
        <v>223</v>
      </c>
      <c r="M277" t="s">
        <v>54</v>
      </c>
      <c r="N277" t="s">
        <v>38</v>
      </c>
      <c r="O277">
        <v>16</v>
      </c>
      <c r="P277">
        <v>30</v>
      </c>
      <c r="Q277">
        <v>0.5333</v>
      </c>
      <c r="R277">
        <v>450</v>
      </c>
      <c r="S277" s="1">
        <v>4545</v>
      </c>
      <c r="T277" t="s">
        <v>111</v>
      </c>
      <c r="U277" t="s">
        <v>112</v>
      </c>
      <c r="V277" s="1">
        <v>1318.6</v>
      </c>
      <c r="W277" s="2">
        <f>Merged_Clinical_Finance_Data[[#This Row],[Occupied_Beds]]/Merged_Clinical_Finance_Data[[#This Row],[Total_Beds]]</f>
        <v>0.53333333333333333</v>
      </c>
      <c r="X277">
        <f>IF(Merged_Clinical_Finance_Data[[#This Row],[30Day_Readmission]]="Yes",1,0)</f>
        <v>0</v>
      </c>
      <c r="Y277" t="str" cm="1">
        <f t="array" ref="Y27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77" t="str" cm="1">
        <f t="array" ref="Z277">_xlfn.IFS(Merged_Clinical_Finance_Data[[#This Row],[Length_of_Stay_Days]]&lt;3,"Short (&lt;3)",Merged_Clinical_Finance_Data[[#This Row],[Length_of_Stay_Days]]&lt;=7,"Medium (3-7)",TRUE,"Long (&gt;7)")</f>
        <v>Long (&gt;7)</v>
      </c>
      <c r="AA277" s="3">
        <f>EOMONTH(Merged_Clinical_Finance_Data[[#This Row],[Admission_Date]],-1)+1</f>
        <v>45870</v>
      </c>
      <c r="AB277" s="1">
        <f>Merged_Clinical_Finance_Data[[#This Row],[Daily_Bed_Cost_GBP]]*Merged_Clinical_Finance_Data[[#This Row],[Length_of_Stay_Days]]</f>
        <v>4545</v>
      </c>
      <c r="AC277" t="str">
        <f>IF(Merged_Clinical_Finance_Data[[#This Row],[Total_Encounter_Cost_Naira]]&gt;AVERAGE(Merged_Clinical_Finance_Data[[#This Row],[Total_Encounter_Cost_Naira]]),"High","Normal")</f>
        <v>Normal</v>
      </c>
    </row>
    <row r="278" spans="1:29" x14ac:dyDescent="0.25">
      <c r="A278" t="s">
        <v>402</v>
      </c>
      <c r="B278" t="s">
        <v>58</v>
      </c>
      <c r="C278" t="s">
        <v>59</v>
      </c>
      <c r="D278" t="s">
        <v>32</v>
      </c>
      <c r="E278" s="3">
        <v>45884</v>
      </c>
      <c r="F278" s="3">
        <v>45891</v>
      </c>
      <c r="G278">
        <v>7.9</v>
      </c>
      <c r="H278">
        <v>32</v>
      </c>
      <c r="I278" t="s">
        <v>43</v>
      </c>
      <c r="J278" t="s">
        <v>34</v>
      </c>
      <c r="K278" t="s">
        <v>62</v>
      </c>
      <c r="L278" t="s">
        <v>291</v>
      </c>
      <c r="M278" t="s">
        <v>47</v>
      </c>
      <c r="N278" t="s">
        <v>38</v>
      </c>
      <c r="O278">
        <v>27</v>
      </c>
      <c r="P278">
        <v>30</v>
      </c>
      <c r="Q278">
        <v>0.9</v>
      </c>
      <c r="R278">
        <v>450</v>
      </c>
      <c r="S278" s="1">
        <v>3555</v>
      </c>
      <c r="T278" t="s">
        <v>136</v>
      </c>
      <c r="U278" t="s">
        <v>137</v>
      </c>
      <c r="V278" s="1">
        <v>1799.39</v>
      </c>
      <c r="W278" s="2">
        <f>Merged_Clinical_Finance_Data[[#This Row],[Occupied_Beds]]/Merged_Clinical_Finance_Data[[#This Row],[Total_Beds]]</f>
        <v>0.9</v>
      </c>
      <c r="X278">
        <f>IF(Merged_Clinical_Finance_Data[[#This Row],[30Day_Readmission]]="Yes",1,0)</f>
        <v>0</v>
      </c>
      <c r="Y278" t="str" cm="1">
        <f t="array" ref="Y27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78" t="str" cm="1">
        <f t="array" ref="Z278">_xlfn.IFS(Merged_Clinical_Finance_Data[[#This Row],[Length_of_Stay_Days]]&lt;3,"Short (&lt;3)",Merged_Clinical_Finance_Data[[#This Row],[Length_of_Stay_Days]]&lt;=7,"Medium (3-7)",TRUE,"Long (&gt;7)")</f>
        <v>Long (&gt;7)</v>
      </c>
      <c r="AA278" s="3">
        <f>EOMONTH(Merged_Clinical_Finance_Data[[#This Row],[Admission_Date]],-1)+1</f>
        <v>45870</v>
      </c>
      <c r="AB278" s="1">
        <f>Merged_Clinical_Finance_Data[[#This Row],[Daily_Bed_Cost_GBP]]*Merged_Clinical_Finance_Data[[#This Row],[Length_of_Stay_Days]]</f>
        <v>3555</v>
      </c>
      <c r="AC278" t="str">
        <f>IF(Merged_Clinical_Finance_Data[[#This Row],[Total_Encounter_Cost_Naira]]&gt;AVERAGE(Merged_Clinical_Finance_Data[[#This Row],[Total_Encounter_Cost_Naira]]),"High","Normal")</f>
        <v>Normal</v>
      </c>
    </row>
    <row r="279" spans="1:29" x14ac:dyDescent="0.25">
      <c r="A279" t="s">
        <v>403</v>
      </c>
      <c r="B279" t="s">
        <v>58</v>
      </c>
      <c r="C279" t="s">
        <v>59</v>
      </c>
      <c r="D279" t="s">
        <v>42</v>
      </c>
      <c r="E279" s="3">
        <v>45980</v>
      </c>
      <c r="F279" s="3">
        <v>45986</v>
      </c>
      <c r="G279">
        <v>6.5</v>
      </c>
      <c r="H279">
        <v>70</v>
      </c>
      <c r="I279" t="s">
        <v>43</v>
      </c>
      <c r="J279" t="s">
        <v>34</v>
      </c>
      <c r="K279" t="s">
        <v>95</v>
      </c>
      <c r="L279" t="s">
        <v>63</v>
      </c>
      <c r="M279" t="s">
        <v>47</v>
      </c>
      <c r="N279" t="s">
        <v>38</v>
      </c>
      <c r="O279">
        <v>15</v>
      </c>
      <c r="P279">
        <v>30</v>
      </c>
      <c r="Q279">
        <v>0.5</v>
      </c>
      <c r="R279">
        <v>400</v>
      </c>
      <c r="S279" s="1">
        <v>2600</v>
      </c>
      <c r="T279" t="s">
        <v>39</v>
      </c>
      <c r="U279" t="s">
        <v>40</v>
      </c>
      <c r="V279" s="1">
        <v>1629.14</v>
      </c>
      <c r="W279" s="2">
        <f>Merged_Clinical_Finance_Data[[#This Row],[Occupied_Beds]]/Merged_Clinical_Finance_Data[[#This Row],[Total_Beds]]</f>
        <v>0.5</v>
      </c>
      <c r="X279">
        <f>IF(Merged_Clinical_Finance_Data[[#This Row],[30Day_Readmission]]="Yes",1,0)</f>
        <v>0</v>
      </c>
      <c r="Y279" t="str" cm="1">
        <f t="array" ref="Y27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279" t="str" cm="1">
        <f t="array" ref="Z279">_xlfn.IFS(Merged_Clinical_Finance_Data[[#This Row],[Length_of_Stay_Days]]&lt;3,"Short (&lt;3)",Merged_Clinical_Finance_Data[[#This Row],[Length_of_Stay_Days]]&lt;=7,"Medium (3-7)",TRUE,"Long (&gt;7)")</f>
        <v>Medium (3-7)</v>
      </c>
      <c r="AA279" s="3">
        <f>EOMONTH(Merged_Clinical_Finance_Data[[#This Row],[Admission_Date]],-1)+1</f>
        <v>45962</v>
      </c>
      <c r="AB279" s="1">
        <f>Merged_Clinical_Finance_Data[[#This Row],[Daily_Bed_Cost_GBP]]*Merged_Clinical_Finance_Data[[#This Row],[Length_of_Stay_Days]]</f>
        <v>2600</v>
      </c>
      <c r="AC279" t="str">
        <f>IF(Merged_Clinical_Finance_Data[[#This Row],[Total_Encounter_Cost_Naira]]&gt;AVERAGE(Merged_Clinical_Finance_Data[[#This Row],[Total_Encounter_Cost_Naira]]),"High","Normal")</f>
        <v>Normal</v>
      </c>
    </row>
    <row r="280" spans="1:29" x14ac:dyDescent="0.25">
      <c r="A280" t="s">
        <v>404</v>
      </c>
      <c r="B280" t="s">
        <v>49</v>
      </c>
      <c r="C280" t="s">
        <v>50</v>
      </c>
      <c r="D280" t="s">
        <v>42</v>
      </c>
      <c r="E280" s="3">
        <v>45870</v>
      </c>
      <c r="F280" s="3">
        <v>45876</v>
      </c>
      <c r="G280">
        <v>6.6</v>
      </c>
      <c r="H280">
        <v>70</v>
      </c>
      <c r="I280" t="s">
        <v>43</v>
      </c>
      <c r="J280" t="s">
        <v>51</v>
      </c>
      <c r="K280" t="s">
        <v>143</v>
      </c>
      <c r="L280" t="s">
        <v>126</v>
      </c>
      <c r="M280" t="s">
        <v>47</v>
      </c>
      <c r="N280" t="s">
        <v>38</v>
      </c>
      <c r="O280">
        <v>23</v>
      </c>
      <c r="P280">
        <v>30</v>
      </c>
      <c r="Q280">
        <v>0.76670000000000005</v>
      </c>
      <c r="R280">
        <v>425</v>
      </c>
      <c r="S280" s="1">
        <v>2805</v>
      </c>
      <c r="T280" t="s">
        <v>136</v>
      </c>
      <c r="U280" t="s">
        <v>137</v>
      </c>
      <c r="V280" s="1">
        <v>2270.4899999999998</v>
      </c>
      <c r="W280" s="2">
        <f>Merged_Clinical_Finance_Data[[#This Row],[Occupied_Beds]]/Merged_Clinical_Finance_Data[[#This Row],[Total_Beds]]</f>
        <v>0.76666666666666672</v>
      </c>
      <c r="X280">
        <f>IF(Merged_Clinical_Finance_Data[[#This Row],[30Day_Readmission]]="Yes",1,0)</f>
        <v>0</v>
      </c>
      <c r="Y280" t="str" cm="1">
        <f t="array" ref="Y28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280" t="str" cm="1">
        <f t="array" ref="Z280">_xlfn.IFS(Merged_Clinical_Finance_Data[[#This Row],[Length_of_Stay_Days]]&lt;3,"Short (&lt;3)",Merged_Clinical_Finance_Data[[#This Row],[Length_of_Stay_Days]]&lt;=7,"Medium (3-7)",TRUE,"Long (&gt;7)")</f>
        <v>Medium (3-7)</v>
      </c>
      <c r="AA280" s="3">
        <f>EOMONTH(Merged_Clinical_Finance_Data[[#This Row],[Admission_Date]],-1)+1</f>
        <v>45870</v>
      </c>
      <c r="AB280" s="1">
        <f>Merged_Clinical_Finance_Data[[#This Row],[Daily_Bed_Cost_GBP]]*Merged_Clinical_Finance_Data[[#This Row],[Length_of_Stay_Days]]</f>
        <v>2805</v>
      </c>
      <c r="AC280" t="str">
        <f>IF(Merged_Clinical_Finance_Data[[#This Row],[Total_Encounter_Cost_Naira]]&gt;AVERAGE(Merged_Clinical_Finance_Data[[#This Row],[Total_Encounter_Cost_Naira]]),"High","Normal")</f>
        <v>Normal</v>
      </c>
    </row>
    <row r="281" spans="1:29" x14ac:dyDescent="0.25">
      <c r="A281" t="s">
        <v>405</v>
      </c>
      <c r="B281" t="s">
        <v>30</v>
      </c>
      <c r="C281" t="s">
        <v>31</v>
      </c>
      <c r="D281" t="s">
        <v>42</v>
      </c>
      <c r="E281" s="3">
        <v>45760</v>
      </c>
      <c r="F281" s="3">
        <v>45767</v>
      </c>
      <c r="G281">
        <v>7.2</v>
      </c>
      <c r="H281">
        <v>25</v>
      </c>
      <c r="I281" t="s">
        <v>43</v>
      </c>
      <c r="J281" t="s">
        <v>51</v>
      </c>
      <c r="K281" t="s">
        <v>45</v>
      </c>
      <c r="L281" t="s">
        <v>134</v>
      </c>
      <c r="M281" t="s">
        <v>47</v>
      </c>
      <c r="N281" t="s">
        <v>38</v>
      </c>
      <c r="O281">
        <v>14</v>
      </c>
      <c r="P281">
        <v>30</v>
      </c>
      <c r="Q281">
        <v>0.4667</v>
      </c>
      <c r="R281">
        <v>480</v>
      </c>
      <c r="S281" s="1">
        <v>3456</v>
      </c>
      <c r="T281" t="s">
        <v>89</v>
      </c>
      <c r="U281" t="s">
        <v>90</v>
      </c>
      <c r="V281" s="1">
        <v>7116.09</v>
      </c>
      <c r="W281" s="2">
        <f>Merged_Clinical_Finance_Data[[#This Row],[Occupied_Beds]]/Merged_Clinical_Finance_Data[[#This Row],[Total_Beds]]</f>
        <v>0.46666666666666667</v>
      </c>
      <c r="X281">
        <f>IF(Merged_Clinical_Finance_Data[[#This Row],[30Day_Readmission]]="Yes",1,0)</f>
        <v>0</v>
      </c>
      <c r="Y281" t="str" cm="1">
        <f t="array" ref="Y28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81" t="str" cm="1">
        <f t="array" ref="Z281">_xlfn.IFS(Merged_Clinical_Finance_Data[[#This Row],[Length_of_Stay_Days]]&lt;3,"Short (&lt;3)",Merged_Clinical_Finance_Data[[#This Row],[Length_of_Stay_Days]]&lt;=7,"Medium (3-7)",TRUE,"Long (&gt;7)")</f>
        <v>Long (&gt;7)</v>
      </c>
      <c r="AA281" s="3">
        <f>EOMONTH(Merged_Clinical_Finance_Data[[#This Row],[Admission_Date]],-1)+1</f>
        <v>45748</v>
      </c>
      <c r="AB281" s="1">
        <f>Merged_Clinical_Finance_Data[[#This Row],[Daily_Bed_Cost_GBP]]*Merged_Clinical_Finance_Data[[#This Row],[Length_of_Stay_Days]]</f>
        <v>3456</v>
      </c>
      <c r="AC281" t="str">
        <f>IF(Merged_Clinical_Finance_Data[[#This Row],[Total_Encounter_Cost_Naira]]&gt;AVERAGE(Merged_Clinical_Finance_Data[[#This Row],[Total_Encounter_Cost_Naira]]),"High","Normal")</f>
        <v>Normal</v>
      </c>
    </row>
    <row r="282" spans="1:29" x14ac:dyDescent="0.25">
      <c r="A282" t="s">
        <v>406</v>
      </c>
      <c r="B282" t="s">
        <v>79</v>
      </c>
      <c r="C282" t="s">
        <v>80</v>
      </c>
      <c r="D282" t="s">
        <v>60</v>
      </c>
      <c r="E282" s="3">
        <v>45981</v>
      </c>
      <c r="F282" s="3">
        <v>45986</v>
      </c>
      <c r="G282">
        <v>5</v>
      </c>
      <c r="H282">
        <v>58</v>
      </c>
      <c r="I282" t="s">
        <v>43</v>
      </c>
      <c r="J282" t="s">
        <v>44</v>
      </c>
      <c r="K282" t="s">
        <v>87</v>
      </c>
      <c r="L282" t="s">
        <v>83</v>
      </c>
      <c r="M282" t="s">
        <v>47</v>
      </c>
      <c r="N282" t="s">
        <v>38</v>
      </c>
      <c r="O282">
        <v>15</v>
      </c>
      <c r="P282">
        <v>30</v>
      </c>
      <c r="Q282">
        <v>0.5</v>
      </c>
      <c r="R282">
        <v>425</v>
      </c>
      <c r="S282" s="1">
        <v>2125</v>
      </c>
      <c r="T282" t="s">
        <v>64</v>
      </c>
      <c r="U282" t="s">
        <v>65</v>
      </c>
      <c r="V282" s="1">
        <v>1394.98</v>
      </c>
      <c r="W282" s="2">
        <f>Merged_Clinical_Finance_Data[[#This Row],[Occupied_Beds]]/Merged_Clinical_Finance_Data[[#This Row],[Total_Beds]]</f>
        <v>0.5</v>
      </c>
      <c r="X282">
        <f>IF(Merged_Clinical_Finance_Data[[#This Row],[30Day_Readmission]]="Yes",1,0)</f>
        <v>0</v>
      </c>
      <c r="Y282" t="str" cm="1">
        <f t="array" ref="Y28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82" t="str" cm="1">
        <f t="array" ref="Z282">_xlfn.IFS(Merged_Clinical_Finance_Data[[#This Row],[Length_of_Stay_Days]]&lt;3,"Short (&lt;3)",Merged_Clinical_Finance_Data[[#This Row],[Length_of_Stay_Days]]&lt;=7,"Medium (3-7)",TRUE,"Long (&gt;7)")</f>
        <v>Medium (3-7)</v>
      </c>
      <c r="AA282" s="3">
        <f>EOMONTH(Merged_Clinical_Finance_Data[[#This Row],[Admission_Date]],-1)+1</f>
        <v>45962</v>
      </c>
      <c r="AB282" s="1">
        <f>Merged_Clinical_Finance_Data[[#This Row],[Daily_Bed_Cost_GBP]]*Merged_Clinical_Finance_Data[[#This Row],[Length_of_Stay_Days]]</f>
        <v>2125</v>
      </c>
      <c r="AC282" t="str">
        <f>IF(Merged_Clinical_Finance_Data[[#This Row],[Total_Encounter_Cost_Naira]]&gt;AVERAGE(Merged_Clinical_Finance_Data[[#This Row],[Total_Encounter_Cost_Naira]]),"High","Normal")</f>
        <v>Normal</v>
      </c>
    </row>
    <row r="283" spans="1:29" x14ac:dyDescent="0.25">
      <c r="A283" t="s">
        <v>407</v>
      </c>
      <c r="B283" t="s">
        <v>79</v>
      </c>
      <c r="C283" t="s">
        <v>80</v>
      </c>
      <c r="D283" t="s">
        <v>42</v>
      </c>
      <c r="E283" s="3">
        <v>45850</v>
      </c>
      <c r="F283" s="3">
        <v>45852</v>
      </c>
      <c r="G283">
        <v>2.8</v>
      </c>
      <c r="H283">
        <v>25</v>
      </c>
      <c r="I283" t="s">
        <v>33</v>
      </c>
      <c r="J283" t="s">
        <v>44</v>
      </c>
      <c r="K283" t="s">
        <v>87</v>
      </c>
      <c r="L283" t="s">
        <v>83</v>
      </c>
      <c r="M283" t="s">
        <v>37</v>
      </c>
      <c r="N283" t="s">
        <v>38</v>
      </c>
      <c r="O283">
        <v>20</v>
      </c>
      <c r="P283">
        <v>30</v>
      </c>
      <c r="Q283">
        <v>0.66669999999999996</v>
      </c>
      <c r="R283">
        <v>425</v>
      </c>
      <c r="S283" s="1">
        <v>1190</v>
      </c>
      <c r="T283" t="s">
        <v>64</v>
      </c>
      <c r="U283" t="s">
        <v>65</v>
      </c>
      <c r="V283" s="1">
        <v>2934.47</v>
      </c>
      <c r="W283" s="2">
        <f>Merged_Clinical_Finance_Data[[#This Row],[Occupied_Beds]]/Merged_Clinical_Finance_Data[[#This Row],[Total_Beds]]</f>
        <v>0.66666666666666663</v>
      </c>
      <c r="X283">
        <f>IF(Merged_Clinical_Finance_Data[[#This Row],[30Day_Readmission]]="Yes",1,0)</f>
        <v>0</v>
      </c>
      <c r="Y283" t="str" cm="1">
        <f t="array" ref="Y28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83" t="str" cm="1">
        <f t="array" ref="Z283">_xlfn.IFS(Merged_Clinical_Finance_Data[[#This Row],[Length_of_Stay_Days]]&lt;3,"Short (&lt;3)",Merged_Clinical_Finance_Data[[#This Row],[Length_of_Stay_Days]]&lt;=7,"Medium (3-7)",TRUE,"Long (&gt;7)")</f>
        <v>Short (&lt;3)</v>
      </c>
      <c r="AA283" s="3">
        <f>EOMONTH(Merged_Clinical_Finance_Data[[#This Row],[Admission_Date]],-1)+1</f>
        <v>45839</v>
      </c>
      <c r="AB283" s="1">
        <f>Merged_Clinical_Finance_Data[[#This Row],[Daily_Bed_Cost_GBP]]*Merged_Clinical_Finance_Data[[#This Row],[Length_of_Stay_Days]]</f>
        <v>1190</v>
      </c>
      <c r="AC283" t="str">
        <f>IF(Merged_Clinical_Finance_Data[[#This Row],[Total_Encounter_Cost_Naira]]&gt;AVERAGE(Merged_Clinical_Finance_Data[[#This Row],[Total_Encounter_Cost_Naira]]),"High","Normal")</f>
        <v>Normal</v>
      </c>
    </row>
    <row r="284" spans="1:29" x14ac:dyDescent="0.25">
      <c r="A284" t="s">
        <v>408</v>
      </c>
      <c r="B284" t="s">
        <v>58</v>
      </c>
      <c r="C284" t="s">
        <v>59</v>
      </c>
      <c r="D284" t="s">
        <v>42</v>
      </c>
      <c r="E284" s="3">
        <v>45905</v>
      </c>
      <c r="F284" s="3">
        <v>45909</v>
      </c>
      <c r="G284">
        <v>4.2</v>
      </c>
      <c r="H284">
        <v>58</v>
      </c>
      <c r="I284" t="s">
        <v>43</v>
      </c>
      <c r="J284" t="s">
        <v>81</v>
      </c>
      <c r="K284" t="s">
        <v>62</v>
      </c>
      <c r="L284" t="s">
        <v>291</v>
      </c>
      <c r="M284" t="s">
        <v>47</v>
      </c>
      <c r="N284" t="s">
        <v>38</v>
      </c>
      <c r="O284">
        <v>26</v>
      </c>
      <c r="P284">
        <v>30</v>
      </c>
      <c r="Q284">
        <v>0.86670000000000003</v>
      </c>
      <c r="R284">
        <v>375</v>
      </c>
      <c r="S284" s="1">
        <v>1575</v>
      </c>
      <c r="T284" t="s">
        <v>136</v>
      </c>
      <c r="U284" t="s">
        <v>137</v>
      </c>
      <c r="V284" s="1">
        <v>1205.83</v>
      </c>
      <c r="W284" s="2">
        <f>Merged_Clinical_Finance_Data[[#This Row],[Occupied_Beds]]/Merged_Clinical_Finance_Data[[#This Row],[Total_Beds]]</f>
        <v>0.8666666666666667</v>
      </c>
      <c r="X284">
        <f>IF(Merged_Clinical_Finance_Data[[#This Row],[30Day_Readmission]]="Yes",1,0)</f>
        <v>0</v>
      </c>
      <c r="Y284" t="str" cm="1">
        <f t="array" ref="Y28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84" t="str" cm="1">
        <f t="array" ref="Z284">_xlfn.IFS(Merged_Clinical_Finance_Data[[#This Row],[Length_of_Stay_Days]]&lt;3,"Short (&lt;3)",Merged_Clinical_Finance_Data[[#This Row],[Length_of_Stay_Days]]&lt;=7,"Medium (3-7)",TRUE,"Long (&gt;7)")</f>
        <v>Medium (3-7)</v>
      </c>
      <c r="AA284" s="3">
        <f>EOMONTH(Merged_Clinical_Finance_Data[[#This Row],[Admission_Date]],-1)+1</f>
        <v>45901</v>
      </c>
      <c r="AB284" s="1">
        <f>Merged_Clinical_Finance_Data[[#This Row],[Daily_Bed_Cost_GBP]]*Merged_Clinical_Finance_Data[[#This Row],[Length_of_Stay_Days]]</f>
        <v>1575</v>
      </c>
      <c r="AC284" t="str">
        <f>IF(Merged_Clinical_Finance_Data[[#This Row],[Total_Encounter_Cost_Naira]]&gt;AVERAGE(Merged_Clinical_Finance_Data[[#This Row],[Total_Encounter_Cost_Naira]]),"High","Normal")</f>
        <v>Normal</v>
      </c>
    </row>
    <row r="285" spans="1:29" x14ac:dyDescent="0.25">
      <c r="A285" t="s">
        <v>409</v>
      </c>
      <c r="B285" t="s">
        <v>30</v>
      </c>
      <c r="C285" t="s">
        <v>31</v>
      </c>
      <c r="D285" t="s">
        <v>42</v>
      </c>
      <c r="E285" s="3">
        <v>45722</v>
      </c>
      <c r="F285" s="3">
        <v>45725</v>
      </c>
      <c r="G285">
        <v>3.7</v>
      </c>
      <c r="H285">
        <v>54</v>
      </c>
      <c r="I285" t="s">
        <v>33</v>
      </c>
      <c r="J285" t="s">
        <v>34</v>
      </c>
      <c r="K285" t="s">
        <v>45</v>
      </c>
      <c r="L285" t="s">
        <v>36</v>
      </c>
      <c r="M285" t="s">
        <v>47</v>
      </c>
      <c r="N285" t="s">
        <v>38</v>
      </c>
      <c r="O285">
        <v>15</v>
      </c>
      <c r="P285">
        <v>30</v>
      </c>
      <c r="Q285">
        <v>0.5</v>
      </c>
      <c r="R285">
        <v>400</v>
      </c>
      <c r="S285" s="1">
        <v>1480</v>
      </c>
      <c r="T285" t="s">
        <v>89</v>
      </c>
      <c r="U285" t="s">
        <v>90</v>
      </c>
      <c r="V285" s="1">
        <v>8461.1299999999992</v>
      </c>
      <c r="W285" s="2">
        <f>Merged_Clinical_Finance_Data[[#This Row],[Occupied_Beds]]/Merged_Clinical_Finance_Data[[#This Row],[Total_Beds]]</f>
        <v>0.5</v>
      </c>
      <c r="X285">
        <f>IF(Merged_Clinical_Finance_Data[[#This Row],[30Day_Readmission]]="Yes",1,0)</f>
        <v>0</v>
      </c>
      <c r="Y285" t="str" cm="1">
        <f t="array" ref="Y28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85" t="str" cm="1">
        <f t="array" ref="Z285">_xlfn.IFS(Merged_Clinical_Finance_Data[[#This Row],[Length_of_Stay_Days]]&lt;3,"Short (&lt;3)",Merged_Clinical_Finance_Data[[#This Row],[Length_of_Stay_Days]]&lt;=7,"Medium (3-7)",TRUE,"Long (&gt;7)")</f>
        <v>Medium (3-7)</v>
      </c>
      <c r="AA285" s="3">
        <f>EOMONTH(Merged_Clinical_Finance_Data[[#This Row],[Admission_Date]],-1)+1</f>
        <v>45717</v>
      </c>
      <c r="AB285" s="1">
        <f>Merged_Clinical_Finance_Data[[#This Row],[Daily_Bed_Cost_GBP]]*Merged_Clinical_Finance_Data[[#This Row],[Length_of_Stay_Days]]</f>
        <v>1480</v>
      </c>
      <c r="AC285" t="str">
        <f>IF(Merged_Clinical_Finance_Data[[#This Row],[Total_Encounter_Cost_Naira]]&gt;AVERAGE(Merged_Clinical_Finance_Data[[#This Row],[Total_Encounter_Cost_Naira]]),"High","Normal")</f>
        <v>Normal</v>
      </c>
    </row>
    <row r="286" spans="1:29" x14ac:dyDescent="0.25">
      <c r="A286" t="s">
        <v>410</v>
      </c>
      <c r="B286" t="s">
        <v>114</v>
      </c>
      <c r="C286" t="s">
        <v>115</v>
      </c>
      <c r="D286" t="s">
        <v>60</v>
      </c>
      <c r="E286" s="3">
        <v>45762</v>
      </c>
      <c r="F286" s="3">
        <v>45772</v>
      </c>
      <c r="G286">
        <v>10.5</v>
      </c>
      <c r="H286">
        <v>29</v>
      </c>
      <c r="I286" t="s">
        <v>43</v>
      </c>
      <c r="J286" t="s">
        <v>51</v>
      </c>
      <c r="K286" t="s">
        <v>116</v>
      </c>
      <c r="L286" t="s">
        <v>223</v>
      </c>
      <c r="M286" t="s">
        <v>47</v>
      </c>
      <c r="N286" t="s">
        <v>38</v>
      </c>
      <c r="O286">
        <v>24</v>
      </c>
      <c r="P286">
        <v>30</v>
      </c>
      <c r="Q286">
        <v>0.8</v>
      </c>
      <c r="R286">
        <v>375</v>
      </c>
      <c r="S286" s="1">
        <v>3937.5</v>
      </c>
      <c r="T286" t="s">
        <v>89</v>
      </c>
      <c r="U286" t="s">
        <v>90</v>
      </c>
      <c r="V286" s="1">
        <v>3954.02</v>
      </c>
      <c r="W286" s="2">
        <f>Merged_Clinical_Finance_Data[[#This Row],[Occupied_Beds]]/Merged_Clinical_Finance_Data[[#This Row],[Total_Beds]]</f>
        <v>0.8</v>
      </c>
      <c r="X286">
        <f>IF(Merged_Clinical_Finance_Data[[#This Row],[30Day_Readmission]]="Yes",1,0)</f>
        <v>0</v>
      </c>
      <c r="Y286" t="str" cm="1">
        <f t="array" ref="Y28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86" t="str" cm="1">
        <f t="array" ref="Z286">_xlfn.IFS(Merged_Clinical_Finance_Data[[#This Row],[Length_of_Stay_Days]]&lt;3,"Short (&lt;3)",Merged_Clinical_Finance_Data[[#This Row],[Length_of_Stay_Days]]&lt;=7,"Medium (3-7)",TRUE,"Long (&gt;7)")</f>
        <v>Long (&gt;7)</v>
      </c>
      <c r="AA286" s="3">
        <f>EOMONTH(Merged_Clinical_Finance_Data[[#This Row],[Admission_Date]],-1)+1</f>
        <v>45748</v>
      </c>
      <c r="AB286" s="1">
        <f>Merged_Clinical_Finance_Data[[#This Row],[Daily_Bed_Cost_GBP]]*Merged_Clinical_Finance_Data[[#This Row],[Length_of_Stay_Days]]</f>
        <v>3937.5</v>
      </c>
      <c r="AC286" t="str">
        <f>IF(Merged_Clinical_Finance_Data[[#This Row],[Total_Encounter_Cost_Naira]]&gt;AVERAGE(Merged_Clinical_Finance_Data[[#This Row],[Total_Encounter_Cost_Naira]]),"High","Normal")</f>
        <v>Normal</v>
      </c>
    </row>
    <row r="287" spans="1:29" x14ac:dyDescent="0.25">
      <c r="A287" t="s">
        <v>411</v>
      </c>
      <c r="B287" t="s">
        <v>49</v>
      </c>
      <c r="C287" t="s">
        <v>50</v>
      </c>
      <c r="D287" t="s">
        <v>60</v>
      </c>
      <c r="E287" s="3">
        <v>45852</v>
      </c>
      <c r="F287" s="3">
        <v>45862</v>
      </c>
      <c r="G287">
        <v>10.7</v>
      </c>
      <c r="H287">
        <v>80</v>
      </c>
      <c r="I287" t="s">
        <v>43</v>
      </c>
      <c r="J287" t="s">
        <v>73</v>
      </c>
      <c r="K287" t="s">
        <v>143</v>
      </c>
      <c r="L287" t="s">
        <v>126</v>
      </c>
      <c r="M287" t="s">
        <v>47</v>
      </c>
      <c r="N287" t="s">
        <v>71</v>
      </c>
      <c r="O287">
        <v>23</v>
      </c>
      <c r="P287">
        <v>30</v>
      </c>
      <c r="Q287">
        <v>0.76670000000000005</v>
      </c>
      <c r="R287">
        <v>425</v>
      </c>
      <c r="S287" s="1">
        <v>4547.5</v>
      </c>
      <c r="T287" t="s">
        <v>89</v>
      </c>
      <c r="U287" t="s">
        <v>90</v>
      </c>
      <c r="V287" s="1">
        <v>4769.82</v>
      </c>
      <c r="W287" s="2">
        <f>Merged_Clinical_Finance_Data[[#This Row],[Occupied_Beds]]/Merged_Clinical_Finance_Data[[#This Row],[Total_Beds]]</f>
        <v>0.76666666666666672</v>
      </c>
      <c r="X287">
        <f>IF(Merged_Clinical_Finance_Data[[#This Row],[30Day_Readmission]]="Yes",1,0)</f>
        <v>1</v>
      </c>
      <c r="Y287" t="str" cm="1">
        <f t="array" ref="Y28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287" t="str" cm="1">
        <f t="array" ref="Z287">_xlfn.IFS(Merged_Clinical_Finance_Data[[#This Row],[Length_of_Stay_Days]]&lt;3,"Short (&lt;3)",Merged_Clinical_Finance_Data[[#This Row],[Length_of_Stay_Days]]&lt;=7,"Medium (3-7)",TRUE,"Long (&gt;7)")</f>
        <v>Long (&gt;7)</v>
      </c>
      <c r="AA287" s="3">
        <f>EOMONTH(Merged_Clinical_Finance_Data[[#This Row],[Admission_Date]],-1)+1</f>
        <v>45839</v>
      </c>
      <c r="AB287" s="1">
        <f>Merged_Clinical_Finance_Data[[#This Row],[Daily_Bed_Cost_GBP]]*Merged_Clinical_Finance_Data[[#This Row],[Length_of_Stay_Days]]</f>
        <v>4547.5</v>
      </c>
      <c r="AC287" t="str">
        <f>IF(Merged_Clinical_Finance_Data[[#This Row],[Total_Encounter_Cost_Naira]]&gt;AVERAGE(Merged_Clinical_Finance_Data[[#This Row],[Total_Encounter_Cost_Naira]]),"High","Normal")</f>
        <v>Normal</v>
      </c>
    </row>
    <row r="288" spans="1:29" x14ac:dyDescent="0.25">
      <c r="A288" t="s">
        <v>412</v>
      </c>
      <c r="B288" t="s">
        <v>107</v>
      </c>
      <c r="C288" t="s">
        <v>108</v>
      </c>
      <c r="D288" t="s">
        <v>42</v>
      </c>
      <c r="E288" s="3">
        <v>45681</v>
      </c>
      <c r="F288" s="3">
        <v>45684</v>
      </c>
      <c r="G288">
        <v>3.8</v>
      </c>
      <c r="H288">
        <v>73</v>
      </c>
      <c r="I288" t="s">
        <v>33</v>
      </c>
      <c r="J288" t="s">
        <v>61</v>
      </c>
      <c r="K288" t="s">
        <v>109</v>
      </c>
      <c r="L288" t="s">
        <v>110</v>
      </c>
      <c r="M288" t="s">
        <v>74</v>
      </c>
      <c r="N288" t="s">
        <v>38</v>
      </c>
      <c r="O288">
        <v>30</v>
      </c>
      <c r="P288">
        <v>30</v>
      </c>
      <c r="Q288">
        <v>1</v>
      </c>
      <c r="R288">
        <v>425</v>
      </c>
      <c r="S288" s="1">
        <v>1615</v>
      </c>
      <c r="T288" t="s">
        <v>84</v>
      </c>
      <c r="U288" t="s">
        <v>85</v>
      </c>
      <c r="V288" s="1">
        <v>3663.13</v>
      </c>
      <c r="W288" s="2">
        <f>Merged_Clinical_Finance_Data[[#This Row],[Occupied_Beds]]/Merged_Clinical_Finance_Data[[#This Row],[Total_Beds]]</f>
        <v>1</v>
      </c>
      <c r="X288">
        <f>IF(Merged_Clinical_Finance_Data[[#This Row],[30Day_Readmission]]="Yes",1,0)</f>
        <v>0</v>
      </c>
      <c r="Y288" t="str" cm="1">
        <f t="array" ref="Y28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288" t="str" cm="1">
        <f t="array" ref="Z288">_xlfn.IFS(Merged_Clinical_Finance_Data[[#This Row],[Length_of_Stay_Days]]&lt;3,"Short (&lt;3)",Merged_Clinical_Finance_Data[[#This Row],[Length_of_Stay_Days]]&lt;=7,"Medium (3-7)",TRUE,"Long (&gt;7)")</f>
        <v>Medium (3-7)</v>
      </c>
      <c r="AA288" s="3">
        <f>EOMONTH(Merged_Clinical_Finance_Data[[#This Row],[Admission_Date]],-1)+1</f>
        <v>45658</v>
      </c>
      <c r="AB288" s="1">
        <f>Merged_Clinical_Finance_Data[[#This Row],[Daily_Bed_Cost_GBP]]*Merged_Clinical_Finance_Data[[#This Row],[Length_of_Stay_Days]]</f>
        <v>1615</v>
      </c>
      <c r="AC288" t="str">
        <f>IF(Merged_Clinical_Finance_Data[[#This Row],[Total_Encounter_Cost_Naira]]&gt;AVERAGE(Merged_Clinical_Finance_Data[[#This Row],[Total_Encounter_Cost_Naira]]),"High","Normal")</f>
        <v>Normal</v>
      </c>
    </row>
    <row r="289" spans="1:29" x14ac:dyDescent="0.25">
      <c r="A289" t="s">
        <v>413</v>
      </c>
      <c r="B289" t="s">
        <v>67</v>
      </c>
      <c r="C289" t="s">
        <v>68</v>
      </c>
      <c r="D289" t="s">
        <v>32</v>
      </c>
      <c r="E289" s="3">
        <v>46004</v>
      </c>
      <c r="F289" s="3">
        <v>46008</v>
      </c>
      <c r="G289">
        <v>4.9000000000000004</v>
      </c>
      <c r="H289">
        <v>74</v>
      </c>
      <c r="I289" t="s">
        <v>43</v>
      </c>
      <c r="J289" t="s">
        <v>73</v>
      </c>
      <c r="K289" t="s">
        <v>69</v>
      </c>
      <c r="L289" t="s">
        <v>77</v>
      </c>
      <c r="M289" t="s">
        <v>47</v>
      </c>
      <c r="N289" t="s">
        <v>38</v>
      </c>
      <c r="O289">
        <v>21</v>
      </c>
      <c r="P289">
        <v>30</v>
      </c>
      <c r="Q289">
        <v>0.7</v>
      </c>
      <c r="R289">
        <v>450</v>
      </c>
      <c r="S289" s="1">
        <v>2205</v>
      </c>
      <c r="T289" t="s">
        <v>96</v>
      </c>
      <c r="U289" t="s">
        <v>97</v>
      </c>
      <c r="V289" s="1">
        <v>1895.68</v>
      </c>
      <c r="W289" s="2">
        <f>Merged_Clinical_Finance_Data[[#This Row],[Occupied_Beds]]/Merged_Clinical_Finance_Data[[#This Row],[Total_Beds]]</f>
        <v>0.7</v>
      </c>
      <c r="X289">
        <f>IF(Merged_Clinical_Finance_Data[[#This Row],[30Day_Readmission]]="Yes",1,0)</f>
        <v>0</v>
      </c>
      <c r="Y289" t="str" cm="1">
        <f t="array" ref="Y28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289" t="str" cm="1">
        <f t="array" ref="Z289">_xlfn.IFS(Merged_Clinical_Finance_Data[[#This Row],[Length_of_Stay_Days]]&lt;3,"Short (&lt;3)",Merged_Clinical_Finance_Data[[#This Row],[Length_of_Stay_Days]]&lt;=7,"Medium (3-7)",TRUE,"Long (&gt;7)")</f>
        <v>Medium (3-7)</v>
      </c>
      <c r="AA289" s="3">
        <f>EOMONTH(Merged_Clinical_Finance_Data[[#This Row],[Admission_Date]],-1)+1</f>
        <v>45992</v>
      </c>
      <c r="AB289" s="1">
        <f>Merged_Clinical_Finance_Data[[#This Row],[Daily_Bed_Cost_GBP]]*Merged_Clinical_Finance_Data[[#This Row],[Length_of_Stay_Days]]</f>
        <v>2205</v>
      </c>
      <c r="AC289" t="str">
        <f>IF(Merged_Clinical_Finance_Data[[#This Row],[Total_Encounter_Cost_Naira]]&gt;AVERAGE(Merged_Clinical_Finance_Data[[#This Row],[Total_Encounter_Cost_Naira]]),"High","Normal")</f>
        <v>Normal</v>
      </c>
    </row>
    <row r="290" spans="1:29" x14ac:dyDescent="0.25">
      <c r="A290" t="s">
        <v>414</v>
      </c>
      <c r="B290" t="s">
        <v>114</v>
      </c>
      <c r="C290" t="s">
        <v>115</v>
      </c>
      <c r="D290" t="s">
        <v>42</v>
      </c>
      <c r="E290" s="3">
        <v>45777</v>
      </c>
      <c r="F290" s="3">
        <v>45784</v>
      </c>
      <c r="G290">
        <v>7.7</v>
      </c>
      <c r="H290">
        <v>66</v>
      </c>
      <c r="I290" t="s">
        <v>33</v>
      </c>
      <c r="J290" t="s">
        <v>81</v>
      </c>
      <c r="K290" t="s">
        <v>116</v>
      </c>
      <c r="L290" t="s">
        <v>223</v>
      </c>
      <c r="M290" t="s">
        <v>47</v>
      </c>
      <c r="N290" t="s">
        <v>38</v>
      </c>
      <c r="O290">
        <v>12</v>
      </c>
      <c r="P290">
        <v>30</v>
      </c>
      <c r="Q290">
        <v>0.4</v>
      </c>
      <c r="R290">
        <v>450</v>
      </c>
      <c r="S290" s="1">
        <v>3465</v>
      </c>
      <c r="T290" t="s">
        <v>39</v>
      </c>
      <c r="U290" t="s">
        <v>40</v>
      </c>
      <c r="V290" s="1">
        <v>3558.44</v>
      </c>
      <c r="W290" s="2">
        <f>Merged_Clinical_Finance_Data[[#This Row],[Occupied_Beds]]/Merged_Clinical_Finance_Data[[#This Row],[Total_Beds]]</f>
        <v>0.4</v>
      </c>
      <c r="X290">
        <f>IF(Merged_Clinical_Finance_Data[[#This Row],[30Day_Readmission]]="Yes",1,0)</f>
        <v>0</v>
      </c>
      <c r="Y290" t="str" cm="1">
        <f t="array" ref="Y29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65-79</v>
      </c>
      <c r="Z290" t="str" cm="1">
        <f t="array" ref="Z290">_xlfn.IFS(Merged_Clinical_Finance_Data[[#This Row],[Length_of_Stay_Days]]&lt;3,"Short (&lt;3)",Merged_Clinical_Finance_Data[[#This Row],[Length_of_Stay_Days]]&lt;=7,"Medium (3-7)",TRUE,"Long (&gt;7)")</f>
        <v>Long (&gt;7)</v>
      </c>
      <c r="AA290" s="3">
        <f>EOMONTH(Merged_Clinical_Finance_Data[[#This Row],[Admission_Date]],-1)+1</f>
        <v>45748</v>
      </c>
      <c r="AB290" s="1">
        <f>Merged_Clinical_Finance_Data[[#This Row],[Daily_Bed_Cost_GBP]]*Merged_Clinical_Finance_Data[[#This Row],[Length_of_Stay_Days]]</f>
        <v>3465</v>
      </c>
      <c r="AC290" t="str">
        <f>IF(Merged_Clinical_Finance_Data[[#This Row],[Total_Encounter_Cost_Naira]]&gt;AVERAGE(Merged_Clinical_Finance_Data[[#This Row],[Total_Encounter_Cost_Naira]]),"High","Normal")</f>
        <v>Normal</v>
      </c>
    </row>
    <row r="291" spans="1:29" x14ac:dyDescent="0.25">
      <c r="A291" t="s">
        <v>415</v>
      </c>
      <c r="B291" t="s">
        <v>114</v>
      </c>
      <c r="C291" t="s">
        <v>115</v>
      </c>
      <c r="D291" t="s">
        <v>42</v>
      </c>
      <c r="E291" s="3">
        <v>45770</v>
      </c>
      <c r="F291" s="3">
        <v>45775</v>
      </c>
      <c r="G291">
        <v>5.8</v>
      </c>
      <c r="H291">
        <v>85</v>
      </c>
      <c r="I291" t="s">
        <v>43</v>
      </c>
      <c r="J291" t="s">
        <v>51</v>
      </c>
      <c r="K291" t="s">
        <v>132</v>
      </c>
      <c r="L291" t="s">
        <v>161</v>
      </c>
      <c r="M291" t="s">
        <v>74</v>
      </c>
      <c r="N291" t="s">
        <v>38</v>
      </c>
      <c r="O291">
        <v>14</v>
      </c>
      <c r="P291">
        <v>30</v>
      </c>
      <c r="Q291">
        <v>0.4667</v>
      </c>
      <c r="R291">
        <v>480</v>
      </c>
      <c r="S291" s="1">
        <v>2784</v>
      </c>
      <c r="T291" t="s">
        <v>84</v>
      </c>
      <c r="U291" t="s">
        <v>85</v>
      </c>
      <c r="V291" s="1">
        <v>6539.99</v>
      </c>
      <c r="W291" s="2">
        <f>Merged_Clinical_Finance_Data[[#This Row],[Occupied_Beds]]/Merged_Clinical_Finance_Data[[#This Row],[Total_Beds]]</f>
        <v>0.46666666666666667</v>
      </c>
      <c r="X291">
        <f>IF(Merged_Clinical_Finance_Data[[#This Row],[30Day_Readmission]]="Yes",1,0)</f>
        <v>0</v>
      </c>
      <c r="Y291" t="str" cm="1">
        <f t="array" ref="Y29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80+</v>
      </c>
      <c r="Z291" t="str" cm="1">
        <f t="array" ref="Z291">_xlfn.IFS(Merged_Clinical_Finance_Data[[#This Row],[Length_of_Stay_Days]]&lt;3,"Short (&lt;3)",Merged_Clinical_Finance_Data[[#This Row],[Length_of_Stay_Days]]&lt;=7,"Medium (3-7)",TRUE,"Long (&gt;7)")</f>
        <v>Medium (3-7)</v>
      </c>
      <c r="AA291" s="3">
        <f>EOMONTH(Merged_Clinical_Finance_Data[[#This Row],[Admission_Date]],-1)+1</f>
        <v>45748</v>
      </c>
      <c r="AB291" s="1">
        <f>Merged_Clinical_Finance_Data[[#This Row],[Daily_Bed_Cost_GBP]]*Merged_Clinical_Finance_Data[[#This Row],[Length_of_Stay_Days]]</f>
        <v>2784</v>
      </c>
      <c r="AC291" t="str">
        <f>IF(Merged_Clinical_Finance_Data[[#This Row],[Total_Encounter_Cost_Naira]]&gt;AVERAGE(Merged_Clinical_Finance_Data[[#This Row],[Total_Encounter_Cost_Naira]]),"High","Normal")</f>
        <v>Normal</v>
      </c>
    </row>
    <row r="292" spans="1:29" x14ac:dyDescent="0.25">
      <c r="A292" t="s">
        <v>416</v>
      </c>
      <c r="B292" t="s">
        <v>30</v>
      </c>
      <c r="C292" t="s">
        <v>31</v>
      </c>
      <c r="D292" t="s">
        <v>42</v>
      </c>
      <c r="E292" s="3">
        <v>45937</v>
      </c>
      <c r="F292" s="3">
        <v>45940</v>
      </c>
      <c r="G292">
        <v>3.6</v>
      </c>
      <c r="H292">
        <v>43</v>
      </c>
      <c r="I292" t="s">
        <v>43</v>
      </c>
      <c r="J292" t="s">
        <v>44</v>
      </c>
      <c r="K292" t="s">
        <v>45</v>
      </c>
      <c r="L292" t="s">
        <v>46</v>
      </c>
      <c r="M292" t="s">
        <v>47</v>
      </c>
      <c r="N292" t="s">
        <v>71</v>
      </c>
      <c r="O292">
        <v>21</v>
      </c>
      <c r="P292">
        <v>30</v>
      </c>
      <c r="Q292">
        <v>0.7</v>
      </c>
      <c r="R292">
        <v>375</v>
      </c>
      <c r="S292" s="1">
        <v>1350</v>
      </c>
      <c r="T292" t="s">
        <v>136</v>
      </c>
      <c r="U292" t="s">
        <v>137</v>
      </c>
      <c r="V292" s="1">
        <v>1911.86</v>
      </c>
      <c r="W292" s="2">
        <f>Merged_Clinical_Finance_Data[[#This Row],[Occupied_Beds]]/Merged_Clinical_Finance_Data[[#This Row],[Total_Beds]]</f>
        <v>0.7</v>
      </c>
      <c r="X292">
        <f>IF(Merged_Clinical_Finance_Data[[#This Row],[30Day_Readmission]]="Yes",1,0)</f>
        <v>1</v>
      </c>
      <c r="Y292" t="str" cm="1">
        <f t="array" ref="Y292">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92" t="str" cm="1">
        <f t="array" ref="Z292">_xlfn.IFS(Merged_Clinical_Finance_Data[[#This Row],[Length_of_Stay_Days]]&lt;3,"Short (&lt;3)",Merged_Clinical_Finance_Data[[#This Row],[Length_of_Stay_Days]]&lt;=7,"Medium (3-7)",TRUE,"Long (&gt;7)")</f>
        <v>Medium (3-7)</v>
      </c>
      <c r="AA292" s="3">
        <f>EOMONTH(Merged_Clinical_Finance_Data[[#This Row],[Admission_Date]],-1)+1</f>
        <v>45931</v>
      </c>
      <c r="AB292" s="1">
        <f>Merged_Clinical_Finance_Data[[#This Row],[Daily_Bed_Cost_GBP]]*Merged_Clinical_Finance_Data[[#This Row],[Length_of_Stay_Days]]</f>
        <v>1350</v>
      </c>
      <c r="AC292" t="str">
        <f>IF(Merged_Clinical_Finance_Data[[#This Row],[Total_Encounter_Cost_Naira]]&gt;AVERAGE(Merged_Clinical_Finance_Data[[#This Row],[Total_Encounter_Cost_Naira]]),"High","Normal")</f>
        <v>Normal</v>
      </c>
    </row>
    <row r="293" spans="1:29" x14ac:dyDescent="0.25">
      <c r="A293" t="s">
        <v>417</v>
      </c>
      <c r="B293" t="s">
        <v>67</v>
      </c>
      <c r="C293" t="s">
        <v>68</v>
      </c>
      <c r="D293" t="s">
        <v>42</v>
      </c>
      <c r="E293" s="3">
        <v>45936</v>
      </c>
      <c r="F293" s="3">
        <v>45942</v>
      </c>
      <c r="G293">
        <v>6.1</v>
      </c>
      <c r="H293">
        <v>64</v>
      </c>
      <c r="I293" t="s">
        <v>43</v>
      </c>
      <c r="J293" t="s">
        <v>81</v>
      </c>
      <c r="K293" t="s">
        <v>76</v>
      </c>
      <c r="L293" t="s">
        <v>167</v>
      </c>
      <c r="M293" t="s">
        <v>47</v>
      </c>
      <c r="N293" t="s">
        <v>38</v>
      </c>
      <c r="O293">
        <v>25</v>
      </c>
      <c r="P293">
        <v>30</v>
      </c>
      <c r="Q293">
        <v>0.83330000000000004</v>
      </c>
      <c r="R293">
        <v>425</v>
      </c>
      <c r="S293" s="1">
        <v>2592.5</v>
      </c>
      <c r="T293" t="s">
        <v>111</v>
      </c>
      <c r="U293" t="s">
        <v>112</v>
      </c>
      <c r="V293" s="1">
        <v>1567.03</v>
      </c>
      <c r="W293" s="2">
        <f>Merged_Clinical_Finance_Data[[#This Row],[Occupied_Beds]]/Merged_Clinical_Finance_Data[[#This Row],[Total_Beds]]</f>
        <v>0.83333333333333337</v>
      </c>
      <c r="X293">
        <f>IF(Merged_Clinical_Finance_Data[[#This Row],[30Day_Readmission]]="Yes",1,0)</f>
        <v>0</v>
      </c>
      <c r="Y293" t="str" cm="1">
        <f t="array" ref="Y293">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93" t="str" cm="1">
        <f t="array" ref="Z293">_xlfn.IFS(Merged_Clinical_Finance_Data[[#This Row],[Length_of_Stay_Days]]&lt;3,"Short (&lt;3)",Merged_Clinical_Finance_Data[[#This Row],[Length_of_Stay_Days]]&lt;=7,"Medium (3-7)",TRUE,"Long (&gt;7)")</f>
        <v>Medium (3-7)</v>
      </c>
      <c r="AA293" s="3">
        <f>EOMONTH(Merged_Clinical_Finance_Data[[#This Row],[Admission_Date]],-1)+1</f>
        <v>45931</v>
      </c>
      <c r="AB293" s="1">
        <f>Merged_Clinical_Finance_Data[[#This Row],[Daily_Bed_Cost_GBP]]*Merged_Clinical_Finance_Data[[#This Row],[Length_of_Stay_Days]]</f>
        <v>2592.5</v>
      </c>
      <c r="AC293" t="str">
        <f>IF(Merged_Clinical_Finance_Data[[#This Row],[Total_Encounter_Cost_Naira]]&gt;AVERAGE(Merged_Clinical_Finance_Data[[#This Row],[Total_Encounter_Cost_Naira]]),"High","Normal")</f>
        <v>Normal</v>
      </c>
    </row>
    <row r="294" spans="1:29" x14ac:dyDescent="0.25">
      <c r="A294" t="s">
        <v>418</v>
      </c>
      <c r="B294" t="s">
        <v>30</v>
      </c>
      <c r="C294" t="s">
        <v>31</v>
      </c>
      <c r="D294" t="s">
        <v>60</v>
      </c>
      <c r="E294" s="3">
        <v>45799</v>
      </c>
      <c r="F294" s="3">
        <v>45801</v>
      </c>
      <c r="G294">
        <v>2.5</v>
      </c>
      <c r="H294">
        <v>45</v>
      </c>
      <c r="I294" t="s">
        <v>43</v>
      </c>
      <c r="J294" t="s">
        <v>81</v>
      </c>
      <c r="K294" t="s">
        <v>45</v>
      </c>
      <c r="L294" t="s">
        <v>36</v>
      </c>
      <c r="M294" t="s">
        <v>54</v>
      </c>
      <c r="N294" t="s">
        <v>38</v>
      </c>
      <c r="O294">
        <v>15</v>
      </c>
      <c r="P294">
        <v>30</v>
      </c>
      <c r="Q294">
        <v>0.5</v>
      </c>
      <c r="R294">
        <v>450</v>
      </c>
      <c r="S294" s="1">
        <v>1125</v>
      </c>
      <c r="T294" t="s">
        <v>64</v>
      </c>
      <c r="U294" t="s">
        <v>65</v>
      </c>
      <c r="V294" s="1">
        <v>1659.46</v>
      </c>
      <c r="W294" s="2">
        <f>Merged_Clinical_Finance_Data[[#This Row],[Occupied_Beds]]/Merged_Clinical_Finance_Data[[#This Row],[Total_Beds]]</f>
        <v>0.5</v>
      </c>
      <c r="X294">
        <f>IF(Merged_Clinical_Finance_Data[[#This Row],[30Day_Readmission]]="Yes",1,0)</f>
        <v>0</v>
      </c>
      <c r="Y294" t="str" cm="1">
        <f t="array" ref="Y294">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94" t="str" cm="1">
        <f t="array" ref="Z294">_xlfn.IFS(Merged_Clinical_Finance_Data[[#This Row],[Length_of_Stay_Days]]&lt;3,"Short (&lt;3)",Merged_Clinical_Finance_Data[[#This Row],[Length_of_Stay_Days]]&lt;=7,"Medium (3-7)",TRUE,"Long (&gt;7)")</f>
        <v>Short (&lt;3)</v>
      </c>
      <c r="AA294" s="3">
        <f>EOMONTH(Merged_Clinical_Finance_Data[[#This Row],[Admission_Date]],-1)+1</f>
        <v>45778</v>
      </c>
      <c r="AB294" s="1">
        <f>Merged_Clinical_Finance_Data[[#This Row],[Daily_Bed_Cost_GBP]]*Merged_Clinical_Finance_Data[[#This Row],[Length_of_Stay_Days]]</f>
        <v>1125</v>
      </c>
      <c r="AC294" t="str">
        <f>IF(Merged_Clinical_Finance_Data[[#This Row],[Total_Encounter_Cost_Naira]]&gt;AVERAGE(Merged_Clinical_Finance_Data[[#This Row],[Total_Encounter_Cost_Naira]]),"High","Normal")</f>
        <v>Normal</v>
      </c>
    </row>
    <row r="295" spans="1:29" x14ac:dyDescent="0.25">
      <c r="A295" t="s">
        <v>419</v>
      </c>
      <c r="B295" t="s">
        <v>79</v>
      </c>
      <c r="C295" t="s">
        <v>80</v>
      </c>
      <c r="D295" t="s">
        <v>42</v>
      </c>
      <c r="E295" s="3">
        <v>45703</v>
      </c>
      <c r="F295" s="3">
        <v>45706</v>
      </c>
      <c r="G295">
        <v>3.8</v>
      </c>
      <c r="H295">
        <v>51</v>
      </c>
      <c r="I295" t="s">
        <v>43</v>
      </c>
      <c r="J295" t="s">
        <v>44</v>
      </c>
      <c r="K295" t="s">
        <v>82</v>
      </c>
      <c r="L295" t="s">
        <v>83</v>
      </c>
      <c r="M295" t="s">
        <v>54</v>
      </c>
      <c r="N295" t="s">
        <v>38</v>
      </c>
      <c r="O295">
        <v>30</v>
      </c>
      <c r="P295">
        <v>30</v>
      </c>
      <c r="Q295">
        <v>1</v>
      </c>
      <c r="R295">
        <v>450</v>
      </c>
      <c r="S295" s="1">
        <v>1710</v>
      </c>
      <c r="T295" t="s">
        <v>111</v>
      </c>
      <c r="U295" t="s">
        <v>112</v>
      </c>
      <c r="V295" s="1">
        <v>812.58</v>
      </c>
      <c r="W295" s="2">
        <f>Merged_Clinical_Finance_Data[[#This Row],[Occupied_Beds]]/Merged_Clinical_Finance_Data[[#This Row],[Total_Beds]]</f>
        <v>1</v>
      </c>
      <c r="X295">
        <f>IF(Merged_Clinical_Finance_Data[[#This Row],[30Day_Readmission]]="Yes",1,0)</f>
        <v>0</v>
      </c>
      <c r="Y295" t="str" cm="1">
        <f t="array" ref="Y295">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95" t="str" cm="1">
        <f t="array" ref="Z295">_xlfn.IFS(Merged_Clinical_Finance_Data[[#This Row],[Length_of_Stay_Days]]&lt;3,"Short (&lt;3)",Merged_Clinical_Finance_Data[[#This Row],[Length_of_Stay_Days]]&lt;=7,"Medium (3-7)",TRUE,"Long (&gt;7)")</f>
        <v>Medium (3-7)</v>
      </c>
      <c r="AA295" s="3">
        <f>EOMONTH(Merged_Clinical_Finance_Data[[#This Row],[Admission_Date]],-1)+1</f>
        <v>45689</v>
      </c>
      <c r="AB295" s="1">
        <f>Merged_Clinical_Finance_Data[[#This Row],[Daily_Bed_Cost_GBP]]*Merged_Clinical_Finance_Data[[#This Row],[Length_of_Stay_Days]]</f>
        <v>1710</v>
      </c>
      <c r="AC295" t="str">
        <f>IF(Merged_Clinical_Finance_Data[[#This Row],[Total_Encounter_Cost_Naira]]&gt;AVERAGE(Merged_Clinical_Finance_Data[[#This Row],[Total_Encounter_Cost_Naira]]),"High","Normal")</f>
        <v>Normal</v>
      </c>
    </row>
    <row r="296" spans="1:29" x14ac:dyDescent="0.25">
      <c r="A296" t="s">
        <v>420</v>
      </c>
      <c r="B296" t="s">
        <v>67</v>
      </c>
      <c r="C296" t="s">
        <v>68</v>
      </c>
      <c r="D296" t="s">
        <v>32</v>
      </c>
      <c r="E296" s="3">
        <v>45731</v>
      </c>
      <c r="F296" s="3">
        <v>45732</v>
      </c>
      <c r="G296">
        <v>1.3</v>
      </c>
      <c r="H296">
        <v>54</v>
      </c>
      <c r="I296" t="s">
        <v>43</v>
      </c>
      <c r="J296" t="s">
        <v>51</v>
      </c>
      <c r="K296" t="s">
        <v>76</v>
      </c>
      <c r="L296" t="s">
        <v>77</v>
      </c>
      <c r="M296" t="s">
        <v>47</v>
      </c>
      <c r="N296" t="s">
        <v>38</v>
      </c>
      <c r="O296">
        <v>20</v>
      </c>
      <c r="P296">
        <v>30</v>
      </c>
      <c r="Q296">
        <v>0.66669999999999996</v>
      </c>
      <c r="R296">
        <v>375</v>
      </c>
      <c r="S296" s="1">
        <v>487.5</v>
      </c>
      <c r="T296" t="s">
        <v>111</v>
      </c>
      <c r="U296" t="s">
        <v>112</v>
      </c>
      <c r="V296" s="1">
        <v>2080.9</v>
      </c>
      <c r="W296" s="2">
        <f>Merged_Clinical_Finance_Data[[#This Row],[Occupied_Beds]]/Merged_Clinical_Finance_Data[[#This Row],[Total_Beds]]</f>
        <v>0.66666666666666663</v>
      </c>
      <c r="X296">
        <f>IF(Merged_Clinical_Finance_Data[[#This Row],[30Day_Readmission]]="Yes",1,0)</f>
        <v>0</v>
      </c>
      <c r="Y296" t="str" cm="1">
        <f t="array" ref="Y296">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50-64</v>
      </c>
      <c r="Z296" t="str" cm="1">
        <f t="array" ref="Z296">_xlfn.IFS(Merged_Clinical_Finance_Data[[#This Row],[Length_of_Stay_Days]]&lt;3,"Short (&lt;3)",Merged_Clinical_Finance_Data[[#This Row],[Length_of_Stay_Days]]&lt;=7,"Medium (3-7)",TRUE,"Long (&gt;7)")</f>
        <v>Short (&lt;3)</v>
      </c>
      <c r="AA296" s="3">
        <f>EOMONTH(Merged_Clinical_Finance_Data[[#This Row],[Admission_Date]],-1)+1</f>
        <v>45717</v>
      </c>
      <c r="AB296" s="1">
        <f>Merged_Clinical_Finance_Data[[#This Row],[Daily_Bed_Cost_GBP]]*Merged_Clinical_Finance_Data[[#This Row],[Length_of_Stay_Days]]</f>
        <v>487.5</v>
      </c>
      <c r="AC296" t="str">
        <f>IF(Merged_Clinical_Finance_Data[[#This Row],[Total_Encounter_Cost_Naira]]&gt;AVERAGE(Merged_Clinical_Finance_Data[[#This Row],[Total_Encounter_Cost_Naira]]),"High","Normal")</f>
        <v>Normal</v>
      </c>
    </row>
    <row r="297" spans="1:29" x14ac:dyDescent="0.25">
      <c r="A297" t="s">
        <v>421</v>
      </c>
      <c r="B297" t="s">
        <v>49</v>
      </c>
      <c r="C297" t="s">
        <v>50</v>
      </c>
      <c r="D297" t="s">
        <v>32</v>
      </c>
      <c r="E297" s="3">
        <v>45798</v>
      </c>
      <c r="F297" s="3">
        <v>45807</v>
      </c>
      <c r="G297">
        <v>9.3000000000000007</v>
      </c>
      <c r="H297">
        <v>23</v>
      </c>
      <c r="I297" t="s">
        <v>33</v>
      </c>
      <c r="J297" t="s">
        <v>44</v>
      </c>
      <c r="K297" t="s">
        <v>52</v>
      </c>
      <c r="L297" t="s">
        <v>53</v>
      </c>
      <c r="M297" t="s">
        <v>74</v>
      </c>
      <c r="N297" t="s">
        <v>38</v>
      </c>
      <c r="O297">
        <v>20</v>
      </c>
      <c r="P297">
        <v>30</v>
      </c>
      <c r="Q297">
        <v>0.66669999999999996</v>
      </c>
      <c r="R297">
        <v>480</v>
      </c>
      <c r="S297" s="1">
        <v>4464</v>
      </c>
      <c r="T297" t="s">
        <v>111</v>
      </c>
      <c r="U297" t="s">
        <v>112</v>
      </c>
      <c r="V297" s="1">
        <v>1482.03</v>
      </c>
      <c r="W297" s="2">
        <f>Merged_Clinical_Finance_Data[[#This Row],[Occupied_Beds]]/Merged_Clinical_Finance_Data[[#This Row],[Total_Beds]]</f>
        <v>0.66666666666666663</v>
      </c>
      <c r="X297">
        <f>IF(Merged_Clinical_Finance_Data[[#This Row],[30Day_Readmission]]="Yes",1,0)</f>
        <v>0</v>
      </c>
      <c r="Y297" t="str" cm="1">
        <f t="array" ref="Y297">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97" t="str" cm="1">
        <f t="array" ref="Z297">_xlfn.IFS(Merged_Clinical_Finance_Data[[#This Row],[Length_of_Stay_Days]]&lt;3,"Short (&lt;3)",Merged_Clinical_Finance_Data[[#This Row],[Length_of_Stay_Days]]&lt;=7,"Medium (3-7)",TRUE,"Long (&gt;7)")</f>
        <v>Long (&gt;7)</v>
      </c>
      <c r="AA297" s="3">
        <f>EOMONTH(Merged_Clinical_Finance_Data[[#This Row],[Admission_Date]],-1)+1</f>
        <v>45778</v>
      </c>
      <c r="AB297" s="1">
        <f>Merged_Clinical_Finance_Data[[#This Row],[Daily_Bed_Cost_GBP]]*Merged_Clinical_Finance_Data[[#This Row],[Length_of_Stay_Days]]</f>
        <v>4464</v>
      </c>
      <c r="AC297" t="str">
        <f>IF(Merged_Clinical_Finance_Data[[#This Row],[Total_Encounter_Cost_Naira]]&gt;AVERAGE(Merged_Clinical_Finance_Data[[#This Row],[Total_Encounter_Cost_Naira]]),"High","Normal")</f>
        <v>Normal</v>
      </c>
    </row>
    <row r="298" spans="1:29" x14ac:dyDescent="0.25">
      <c r="A298" t="s">
        <v>422</v>
      </c>
      <c r="B298" t="s">
        <v>58</v>
      </c>
      <c r="C298" t="s">
        <v>59</v>
      </c>
      <c r="D298" t="s">
        <v>60</v>
      </c>
      <c r="E298" s="3">
        <v>45790</v>
      </c>
      <c r="F298" s="3">
        <v>45797</v>
      </c>
      <c r="G298">
        <v>7.7</v>
      </c>
      <c r="H298">
        <v>30</v>
      </c>
      <c r="I298" t="s">
        <v>43</v>
      </c>
      <c r="J298" t="s">
        <v>73</v>
      </c>
      <c r="K298" t="s">
        <v>95</v>
      </c>
      <c r="L298" t="s">
        <v>119</v>
      </c>
      <c r="M298" t="s">
        <v>47</v>
      </c>
      <c r="N298" t="s">
        <v>38</v>
      </c>
      <c r="O298">
        <v>16</v>
      </c>
      <c r="P298">
        <v>30</v>
      </c>
      <c r="Q298">
        <v>0.5333</v>
      </c>
      <c r="R298">
        <v>375</v>
      </c>
      <c r="S298" s="1">
        <v>2887.5</v>
      </c>
      <c r="T298" t="s">
        <v>136</v>
      </c>
      <c r="U298" t="s">
        <v>137</v>
      </c>
      <c r="V298" s="1">
        <v>3160.42</v>
      </c>
      <c r="W298" s="2">
        <f>Merged_Clinical_Finance_Data[[#This Row],[Occupied_Beds]]/Merged_Clinical_Finance_Data[[#This Row],[Total_Beds]]</f>
        <v>0.53333333333333333</v>
      </c>
      <c r="X298">
        <f>IF(Merged_Clinical_Finance_Data[[#This Row],[30Day_Readmission]]="Yes",1,0)</f>
        <v>0</v>
      </c>
      <c r="Y298" t="str" cm="1">
        <f t="array" ref="Y298">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298" t="str" cm="1">
        <f t="array" ref="Z298">_xlfn.IFS(Merged_Clinical_Finance_Data[[#This Row],[Length_of_Stay_Days]]&lt;3,"Short (&lt;3)",Merged_Clinical_Finance_Data[[#This Row],[Length_of_Stay_Days]]&lt;=7,"Medium (3-7)",TRUE,"Long (&gt;7)")</f>
        <v>Long (&gt;7)</v>
      </c>
      <c r="AA298" s="3">
        <f>EOMONTH(Merged_Clinical_Finance_Data[[#This Row],[Admission_Date]],-1)+1</f>
        <v>45778</v>
      </c>
      <c r="AB298" s="1">
        <f>Merged_Clinical_Finance_Data[[#This Row],[Daily_Bed_Cost_GBP]]*Merged_Clinical_Finance_Data[[#This Row],[Length_of_Stay_Days]]</f>
        <v>2887.5</v>
      </c>
      <c r="AC298" t="str">
        <f>IF(Merged_Clinical_Finance_Data[[#This Row],[Total_Encounter_Cost_Naira]]&gt;AVERAGE(Merged_Clinical_Finance_Data[[#This Row],[Total_Encounter_Cost_Naira]]),"High","Normal")</f>
        <v>Normal</v>
      </c>
    </row>
    <row r="299" spans="1:29" x14ac:dyDescent="0.25">
      <c r="A299" t="s">
        <v>423</v>
      </c>
      <c r="B299" t="s">
        <v>114</v>
      </c>
      <c r="C299" t="s">
        <v>115</v>
      </c>
      <c r="D299" t="s">
        <v>42</v>
      </c>
      <c r="E299" s="3">
        <v>46014</v>
      </c>
      <c r="F299" s="3">
        <v>46017</v>
      </c>
      <c r="G299">
        <v>3.6</v>
      </c>
      <c r="H299">
        <v>42</v>
      </c>
      <c r="I299" t="s">
        <v>33</v>
      </c>
      <c r="J299" t="s">
        <v>34</v>
      </c>
      <c r="K299" t="s">
        <v>132</v>
      </c>
      <c r="L299" t="s">
        <v>161</v>
      </c>
      <c r="M299" t="s">
        <v>37</v>
      </c>
      <c r="N299" t="s">
        <v>71</v>
      </c>
      <c r="O299">
        <v>22</v>
      </c>
      <c r="P299">
        <v>30</v>
      </c>
      <c r="Q299">
        <v>0.73329999999999995</v>
      </c>
      <c r="R299">
        <v>400</v>
      </c>
      <c r="S299" s="1">
        <v>1440</v>
      </c>
      <c r="T299" t="s">
        <v>39</v>
      </c>
      <c r="U299" t="s">
        <v>40</v>
      </c>
      <c r="V299" s="1">
        <v>2686.66</v>
      </c>
      <c r="W299" s="2">
        <f>Merged_Clinical_Finance_Data[[#This Row],[Occupied_Beds]]/Merged_Clinical_Finance_Data[[#This Row],[Total_Beds]]</f>
        <v>0.73333333333333328</v>
      </c>
      <c r="X299">
        <f>IF(Merged_Clinical_Finance_Data[[#This Row],[30Day_Readmission]]="Yes",1,0)</f>
        <v>1</v>
      </c>
      <c r="Y299" t="str" cm="1">
        <f t="array" ref="Y299">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299" t="str" cm="1">
        <f t="array" ref="Z299">_xlfn.IFS(Merged_Clinical_Finance_Data[[#This Row],[Length_of_Stay_Days]]&lt;3,"Short (&lt;3)",Merged_Clinical_Finance_Data[[#This Row],[Length_of_Stay_Days]]&lt;=7,"Medium (3-7)",TRUE,"Long (&gt;7)")</f>
        <v>Medium (3-7)</v>
      </c>
      <c r="AA299" s="3">
        <f>EOMONTH(Merged_Clinical_Finance_Data[[#This Row],[Admission_Date]],-1)+1</f>
        <v>45992</v>
      </c>
      <c r="AB299" s="1">
        <f>Merged_Clinical_Finance_Data[[#This Row],[Daily_Bed_Cost_GBP]]*Merged_Clinical_Finance_Data[[#This Row],[Length_of_Stay_Days]]</f>
        <v>1440</v>
      </c>
      <c r="AC299" t="str">
        <f>IF(Merged_Clinical_Finance_Data[[#This Row],[Total_Encounter_Cost_Naira]]&gt;AVERAGE(Merged_Clinical_Finance_Data[[#This Row],[Total_Encounter_Cost_Naira]]),"High","Normal")</f>
        <v>Normal</v>
      </c>
    </row>
    <row r="300" spans="1:29" x14ac:dyDescent="0.25">
      <c r="A300" t="s">
        <v>424</v>
      </c>
      <c r="B300" t="s">
        <v>102</v>
      </c>
      <c r="C300" t="s">
        <v>103</v>
      </c>
      <c r="D300" t="s">
        <v>60</v>
      </c>
      <c r="E300" s="3">
        <v>45817</v>
      </c>
      <c r="F300" s="3">
        <v>45818</v>
      </c>
      <c r="G300">
        <v>1.1000000000000001</v>
      </c>
      <c r="H300">
        <v>20</v>
      </c>
      <c r="I300" t="s">
        <v>33</v>
      </c>
      <c r="J300" t="s">
        <v>51</v>
      </c>
      <c r="K300" t="s">
        <v>153</v>
      </c>
      <c r="L300" t="s">
        <v>124</v>
      </c>
      <c r="M300" t="s">
        <v>47</v>
      </c>
      <c r="N300" t="s">
        <v>38</v>
      </c>
      <c r="O300">
        <v>23</v>
      </c>
      <c r="P300">
        <v>30</v>
      </c>
      <c r="Q300">
        <v>0.76670000000000005</v>
      </c>
      <c r="R300">
        <v>350</v>
      </c>
      <c r="S300" s="1">
        <v>385</v>
      </c>
      <c r="T300" t="s">
        <v>89</v>
      </c>
      <c r="U300" t="s">
        <v>90</v>
      </c>
      <c r="V300" s="1">
        <v>3196.17</v>
      </c>
      <c r="W300" s="2">
        <f>Merged_Clinical_Finance_Data[[#This Row],[Occupied_Beds]]/Merged_Clinical_Finance_Data[[#This Row],[Total_Beds]]</f>
        <v>0.76666666666666672</v>
      </c>
      <c r="X300">
        <f>IF(Merged_Clinical_Finance_Data[[#This Row],[30Day_Readmission]]="Yes",1,0)</f>
        <v>0</v>
      </c>
      <c r="Y300" t="str" cm="1">
        <f t="array" ref="Y300">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18-34</v>
      </c>
      <c r="Z300" t="str" cm="1">
        <f t="array" ref="Z300">_xlfn.IFS(Merged_Clinical_Finance_Data[[#This Row],[Length_of_Stay_Days]]&lt;3,"Short (&lt;3)",Merged_Clinical_Finance_Data[[#This Row],[Length_of_Stay_Days]]&lt;=7,"Medium (3-7)",TRUE,"Long (&gt;7)")</f>
        <v>Short (&lt;3)</v>
      </c>
      <c r="AA300" s="3">
        <f>EOMONTH(Merged_Clinical_Finance_Data[[#This Row],[Admission_Date]],-1)+1</f>
        <v>45809</v>
      </c>
      <c r="AB300" s="1">
        <f>Merged_Clinical_Finance_Data[[#This Row],[Daily_Bed_Cost_GBP]]*Merged_Clinical_Finance_Data[[#This Row],[Length_of_Stay_Days]]</f>
        <v>385.00000000000006</v>
      </c>
      <c r="AC300" t="str">
        <f>IF(Merged_Clinical_Finance_Data[[#This Row],[Total_Encounter_Cost_Naira]]&gt;AVERAGE(Merged_Clinical_Finance_Data[[#This Row],[Total_Encounter_Cost_Naira]]),"High","Normal")</f>
        <v>Normal</v>
      </c>
    </row>
    <row r="301" spans="1:29" x14ac:dyDescent="0.25">
      <c r="A301" t="s">
        <v>425</v>
      </c>
      <c r="B301" t="s">
        <v>79</v>
      </c>
      <c r="C301" t="s">
        <v>80</v>
      </c>
      <c r="D301" t="s">
        <v>42</v>
      </c>
      <c r="E301" s="3">
        <v>45690</v>
      </c>
      <c r="F301" s="3">
        <v>45692</v>
      </c>
      <c r="G301">
        <v>2.4</v>
      </c>
      <c r="H301">
        <v>42</v>
      </c>
      <c r="I301" t="s">
        <v>43</v>
      </c>
      <c r="J301" t="s">
        <v>81</v>
      </c>
      <c r="K301" t="s">
        <v>87</v>
      </c>
      <c r="L301" t="s">
        <v>83</v>
      </c>
      <c r="M301" t="s">
        <v>47</v>
      </c>
      <c r="N301" t="s">
        <v>38</v>
      </c>
      <c r="O301">
        <v>18</v>
      </c>
      <c r="P301">
        <v>30</v>
      </c>
      <c r="Q301">
        <v>0.6</v>
      </c>
      <c r="R301">
        <v>350</v>
      </c>
      <c r="S301" s="1">
        <v>840</v>
      </c>
      <c r="T301" t="s">
        <v>55</v>
      </c>
      <c r="U301" t="s">
        <v>56</v>
      </c>
      <c r="V301" s="1">
        <v>833.81</v>
      </c>
      <c r="W301" s="2">
        <f>Merged_Clinical_Finance_Data[[#This Row],[Occupied_Beds]]/Merged_Clinical_Finance_Data[[#This Row],[Total_Beds]]</f>
        <v>0.6</v>
      </c>
      <c r="X301">
        <f>IF(Merged_Clinical_Finance_Data[[#This Row],[30Day_Readmission]]="Yes",1,0)</f>
        <v>0</v>
      </c>
      <c r="Y301" t="str" cm="1">
        <f t="array" ref="Y301">_xlfn.IFS(Merged_Clinical_Finance_Data[[#This Row],[Patient_Age]]&lt;18,"0-17",Merged_Clinical_Finance_Data[[#This Row],[Patient_Age]]&lt;35,"18-34",Merged_Clinical_Finance_Data[[#This Row],[Patient_Age]]&lt;50,"35-49",Merged_Clinical_Finance_Data[[#This Row],[Patient_Age]]&lt;65,"50-64",Merged_Clinical_Finance_Data[[#This Row],[Patient_Age]]&lt;80,"65-79",TRUE,"80+")</f>
        <v>35-49</v>
      </c>
      <c r="Z301" t="str" cm="1">
        <f t="array" ref="Z301">_xlfn.IFS(Merged_Clinical_Finance_Data[[#This Row],[Length_of_Stay_Days]]&lt;3,"Short (&lt;3)",Merged_Clinical_Finance_Data[[#This Row],[Length_of_Stay_Days]]&lt;=7,"Medium (3-7)",TRUE,"Long (&gt;7)")</f>
        <v>Short (&lt;3)</v>
      </c>
      <c r="AA301" s="3">
        <f>EOMONTH(Merged_Clinical_Finance_Data[[#This Row],[Admission_Date]],-1)+1</f>
        <v>45689</v>
      </c>
      <c r="AB301" s="1">
        <f>Merged_Clinical_Finance_Data[[#This Row],[Daily_Bed_Cost_GBP]]*Merged_Clinical_Finance_Data[[#This Row],[Length_of_Stay_Days]]</f>
        <v>840</v>
      </c>
      <c r="AC301" t="str">
        <f>IF(Merged_Clinical_Finance_Data[[#This Row],[Total_Encounter_Cost_Naira]]&gt;AVERAGE(Merged_Clinical_Finance_Data[[#This Row],[Total_Encounter_Cost_Naira]]),"High","Normal")</f>
        <v>Normal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B9D0D-BC81-4E53-A57A-3286515F64EB}">
  <dimension ref="A3:E9"/>
  <sheetViews>
    <sheetView workbookViewId="0">
      <selection activeCell="A6" sqref="A6"/>
    </sheetView>
  </sheetViews>
  <sheetFormatPr defaultRowHeight="15" x14ac:dyDescent="0.25"/>
  <cols>
    <col min="1" max="1" width="36.85546875" bestFit="1" customWidth="1"/>
    <col min="3" max="3" width="23.42578125" bestFit="1" customWidth="1"/>
    <col min="4" max="4" width="10.28515625" customWidth="1"/>
    <col min="5" max="5" width="32" bestFit="1" customWidth="1"/>
    <col min="6" max="6" width="28.42578125" bestFit="1" customWidth="1"/>
  </cols>
  <sheetData>
    <row r="3" spans="1:5" x14ac:dyDescent="0.25">
      <c r="A3" t="s">
        <v>426</v>
      </c>
      <c r="C3" t="s">
        <v>427</v>
      </c>
      <c r="E3" s="1" t="s">
        <v>428</v>
      </c>
    </row>
    <row r="4" spans="1:5" x14ac:dyDescent="0.25">
      <c r="A4" s="4">
        <v>300</v>
      </c>
      <c r="C4" s="7">
        <v>5.0059999999999985</v>
      </c>
      <c r="E4" s="8">
        <v>637188.5</v>
      </c>
    </row>
    <row r="5" spans="1:5" x14ac:dyDescent="0.25">
      <c r="A5">
        <f>GETPIVOTDATA("Encounter_ID",$A$3)</f>
        <v>300</v>
      </c>
      <c r="C5" s="7">
        <f>GETPIVOTDATA("Length_of_Stay_Days",$C$3)</f>
        <v>5.0059999999999985</v>
      </c>
      <c r="E5" s="8">
        <f>GETPIVOTDATA("Total_Encounter_Cost_Naira",$E$3)</f>
        <v>637188.5</v>
      </c>
    </row>
    <row r="7" spans="1:5" x14ac:dyDescent="0.25">
      <c r="A7" s="1" t="s">
        <v>429</v>
      </c>
      <c r="C7" s="9" t="s">
        <v>430</v>
      </c>
      <c r="E7" s="9" t="s">
        <v>431</v>
      </c>
    </row>
    <row r="8" spans="1:5" x14ac:dyDescent="0.25">
      <c r="A8" s="8">
        <v>2123.9616666666666</v>
      </c>
      <c r="C8" s="9">
        <v>9.6666666666666665E-2</v>
      </c>
      <c r="E8" s="9">
        <v>0.70622222222222242</v>
      </c>
    </row>
    <row r="9" spans="1:5" x14ac:dyDescent="0.25">
      <c r="A9" s="8">
        <f>GETPIVOTDATA("Total_Encounter_Cost_Naira",$A$7)</f>
        <v>2123.9616666666666</v>
      </c>
      <c r="C9" s="2">
        <f>GETPIVOTDATA("Readmit_Flag",$C$7)</f>
        <v>9.6666666666666665E-2</v>
      </c>
      <c r="E9" s="2">
        <f>GETPIVOTDATA("Occupancy_Rate_Fixed",$E$7)</f>
        <v>0.70622222222222242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38903-07D6-4E6A-B02E-E5B06CE0CEAC}">
  <dimension ref="A2:G95"/>
  <sheetViews>
    <sheetView tabSelected="1" topLeftCell="A76" workbookViewId="0">
      <selection activeCell="M48" sqref="M48"/>
    </sheetView>
  </sheetViews>
  <sheetFormatPr defaultRowHeight="15" x14ac:dyDescent="0.25"/>
  <cols>
    <col min="1" max="1" width="19.7109375" bestFit="1" customWidth="1"/>
    <col min="2" max="2" width="30.42578125" bestFit="1" customWidth="1"/>
    <col min="3" max="3" width="21.140625" bestFit="1" customWidth="1"/>
    <col min="4" max="4" width="22.7109375" bestFit="1" customWidth="1"/>
    <col min="6" max="6" width="18" bestFit="1" customWidth="1"/>
    <col min="7" max="7" width="21.140625" bestFit="1" customWidth="1"/>
  </cols>
  <sheetData>
    <row r="2" spans="1:2" x14ac:dyDescent="0.25">
      <c r="A2" s="5" t="s">
        <v>433</v>
      </c>
      <c r="B2" t="s">
        <v>426</v>
      </c>
    </row>
    <row r="3" spans="1:2" x14ac:dyDescent="0.25">
      <c r="A3" s="6" t="s">
        <v>102</v>
      </c>
      <c r="B3" s="4">
        <v>29</v>
      </c>
    </row>
    <row r="4" spans="1:2" x14ac:dyDescent="0.25">
      <c r="A4" s="6" t="s">
        <v>79</v>
      </c>
      <c r="B4" s="4">
        <v>32</v>
      </c>
    </row>
    <row r="5" spans="1:2" x14ac:dyDescent="0.25">
      <c r="A5" s="6" t="s">
        <v>58</v>
      </c>
      <c r="B5" s="4">
        <v>32</v>
      </c>
    </row>
    <row r="6" spans="1:2" x14ac:dyDescent="0.25">
      <c r="A6" s="6" t="s">
        <v>107</v>
      </c>
      <c r="B6" s="4">
        <v>38</v>
      </c>
    </row>
    <row r="7" spans="1:2" x14ac:dyDescent="0.25">
      <c r="A7" s="6" t="s">
        <v>49</v>
      </c>
      <c r="B7" s="4">
        <v>40</v>
      </c>
    </row>
    <row r="8" spans="1:2" x14ac:dyDescent="0.25">
      <c r="A8" s="6" t="s">
        <v>30</v>
      </c>
      <c r="B8" s="4">
        <v>41</v>
      </c>
    </row>
    <row r="9" spans="1:2" x14ac:dyDescent="0.25">
      <c r="A9" s="6" t="s">
        <v>114</v>
      </c>
      <c r="B9" s="4">
        <v>44</v>
      </c>
    </row>
    <row r="10" spans="1:2" x14ac:dyDescent="0.25">
      <c r="A10" s="6" t="s">
        <v>67</v>
      </c>
      <c r="B10" s="4">
        <v>44</v>
      </c>
    </row>
    <row r="18" spans="1:2" x14ac:dyDescent="0.25">
      <c r="A18" s="5" t="s">
        <v>433</v>
      </c>
      <c r="B18" t="s">
        <v>427</v>
      </c>
    </row>
    <row r="19" spans="1:2" x14ac:dyDescent="0.25">
      <c r="A19" s="6" t="s">
        <v>49</v>
      </c>
      <c r="B19" s="7">
        <v>7.5824999999999987</v>
      </c>
    </row>
    <row r="20" spans="1:2" x14ac:dyDescent="0.25">
      <c r="A20" s="6" t="s">
        <v>114</v>
      </c>
      <c r="B20" s="7">
        <v>6.9886363636363651</v>
      </c>
    </row>
    <row r="21" spans="1:2" x14ac:dyDescent="0.25">
      <c r="A21" s="6" t="s">
        <v>58</v>
      </c>
      <c r="B21" s="7">
        <v>5.3156249999999989</v>
      </c>
    </row>
    <row r="22" spans="1:2" x14ac:dyDescent="0.25">
      <c r="A22" s="6" t="s">
        <v>30</v>
      </c>
      <c r="B22" s="7">
        <v>5.2926829268292686</v>
      </c>
    </row>
    <row r="23" spans="1:2" x14ac:dyDescent="0.25">
      <c r="A23" s="6" t="s">
        <v>107</v>
      </c>
      <c r="B23" s="7">
        <v>5.1157894736842122</v>
      </c>
    </row>
    <row r="24" spans="1:2" x14ac:dyDescent="0.25">
      <c r="A24" s="6" t="s">
        <v>67</v>
      </c>
      <c r="B24" s="7">
        <v>3.8159090909090905</v>
      </c>
    </row>
    <row r="25" spans="1:2" x14ac:dyDescent="0.25">
      <c r="A25" s="6" t="s">
        <v>79</v>
      </c>
      <c r="B25" s="7">
        <v>3.2562500000000001</v>
      </c>
    </row>
    <row r="26" spans="1:2" x14ac:dyDescent="0.25">
      <c r="A26" s="6" t="s">
        <v>102</v>
      </c>
      <c r="B26" s="7">
        <v>1.2896551724137932</v>
      </c>
    </row>
    <row r="33" spans="1:2" x14ac:dyDescent="0.25">
      <c r="A33" s="5" t="s">
        <v>433</v>
      </c>
      <c r="B33" t="s">
        <v>426</v>
      </c>
    </row>
    <row r="34" spans="1:2" x14ac:dyDescent="0.25">
      <c r="A34" s="6" t="s">
        <v>434</v>
      </c>
      <c r="B34" s="7">
        <v>25</v>
      </c>
    </row>
    <row r="35" spans="1:2" x14ac:dyDescent="0.25">
      <c r="A35" s="6" t="s">
        <v>435</v>
      </c>
      <c r="B35" s="7">
        <v>19</v>
      </c>
    </row>
    <row r="36" spans="1:2" x14ac:dyDescent="0.25">
      <c r="A36" s="6" t="s">
        <v>436</v>
      </c>
      <c r="B36" s="7">
        <v>28</v>
      </c>
    </row>
    <row r="37" spans="1:2" x14ac:dyDescent="0.25">
      <c r="A37" s="6" t="s">
        <v>437</v>
      </c>
      <c r="B37" s="7">
        <v>35</v>
      </c>
    </row>
    <row r="38" spans="1:2" x14ac:dyDescent="0.25">
      <c r="A38" s="6" t="s">
        <v>438</v>
      </c>
      <c r="B38" s="7">
        <v>37</v>
      </c>
    </row>
    <row r="39" spans="1:2" x14ac:dyDescent="0.25">
      <c r="A39" s="6" t="s">
        <v>439</v>
      </c>
      <c r="B39" s="7">
        <v>21</v>
      </c>
    </row>
    <row r="40" spans="1:2" x14ac:dyDescent="0.25">
      <c r="A40" s="6" t="s">
        <v>440</v>
      </c>
      <c r="B40" s="7">
        <v>26</v>
      </c>
    </row>
    <row r="41" spans="1:2" x14ac:dyDescent="0.25">
      <c r="A41" s="6" t="s">
        <v>441</v>
      </c>
      <c r="B41" s="7">
        <v>28</v>
      </c>
    </row>
    <row r="42" spans="1:2" x14ac:dyDescent="0.25">
      <c r="A42" s="6" t="s">
        <v>442</v>
      </c>
      <c r="B42" s="7">
        <v>17</v>
      </c>
    </row>
    <row r="43" spans="1:2" x14ac:dyDescent="0.25">
      <c r="A43" s="6" t="s">
        <v>443</v>
      </c>
      <c r="B43" s="7">
        <v>12</v>
      </c>
    </row>
    <row r="44" spans="1:2" x14ac:dyDescent="0.25">
      <c r="A44" s="6" t="s">
        <v>444</v>
      </c>
      <c r="B44" s="7">
        <v>29</v>
      </c>
    </row>
    <row r="45" spans="1:2" x14ac:dyDescent="0.25">
      <c r="A45" s="6" t="s">
        <v>445</v>
      </c>
      <c r="B45" s="7">
        <v>23</v>
      </c>
    </row>
    <row r="49" spans="1:2" x14ac:dyDescent="0.25">
      <c r="A49" s="5" t="s">
        <v>433</v>
      </c>
      <c r="B49" t="s">
        <v>426</v>
      </c>
    </row>
    <row r="50" spans="1:2" x14ac:dyDescent="0.25">
      <c r="A50" s="6" t="s">
        <v>60</v>
      </c>
      <c r="B50" s="7">
        <v>74</v>
      </c>
    </row>
    <row r="51" spans="1:2" x14ac:dyDescent="0.25">
      <c r="A51" s="6" t="s">
        <v>42</v>
      </c>
      <c r="B51" s="7">
        <v>156</v>
      </c>
    </row>
    <row r="52" spans="1:2" x14ac:dyDescent="0.25">
      <c r="A52" s="6" t="s">
        <v>32</v>
      </c>
      <c r="B52" s="7">
        <v>70</v>
      </c>
    </row>
    <row r="65" spans="1:7" x14ac:dyDescent="0.25">
      <c r="A65" s="5" t="s">
        <v>433</v>
      </c>
      <c r="B65" t="s">
        <v>432</v>
      </c>
      <c r="C65" t="s">
        <v>426</v>
      </c>
    </row>
    <row r="66" spans="1:7" x14ac:dyDescent="0.25">
      <c r="A66" s="6" t="s">
        <v>67</v>
      </c>
      <c r="B66" s="7">
        <v>44</v>
      </c>
      <c r="C66" s="7">
        <v>44</v>
      </c>
    </row>
    <row r="67" spans="1:7" x14ac:dyDescent="0.25">
      <c r="A67" s="6" t="s">
        <v>114</v>
      </c>
      <c r="B67" s="7">
        <v>44</v>
      </c>
      <c r="C67" s="7">
        <v>44</v>
      </c>
    </row>
    <row r="68" spans="1:7" x14ac:dyDescent="0.25">
      <c r="A68" s="6" t="s">
        <v>30</v>
      </c>
      <c r="B68" s="7">
        <v>41</v>
      </c>
      <c r="C68" s="7">
        <v>41</v>
      </c>
    </row>
    <row r="69" spans="1:7" x14ac:dyDescent="0.25">
      <c r="A69" s="6" t="s">
        <v>49</v>
      </c>
      <c r="B69" s="7">
        <v>40</v>
      </c>
      <c r="C69" s="7">
        <v>40</v>
      </c>
    </row>
    <row r="70" spans="1:7" x14ac:dyDescent="0.25">
      <c r="A70" s="6" t="s">
        <v>107</v>
      </c>
      <c r="B70" s="7">
        <v>38</v>
      </c>
      <c r="C70" s="7">
        <v>38</v>
      </c>
    </row>
    <row r="71" spans="1:7" x14ac:dyDescent="0.25">
      <c r="A71" s="6" t="s">
        <v>58</v>
      </c>
      <c r="B71" s="7">
        <v>32</v>
      </c>
      <c r="C71" s="7">
        <v>32</v>
      </c>
    </row>
    <row r="72" spans="1:7" x14ac:dyDescent="0.25">
      <c r="A72" s="6" t="s">
        <v>79</v>
      </c>
      <c r="B72" s="7">
        <v>32</v>
      </c>
      <c r="C72" s="7">
        <v>32</v>
      </c>
    </row>
    <row r="73" spans="1:7" x14ac:dyDescent="0.25">
      <c r="A73" s="6" t="s">
        <v>102</v>
      </c>
      <c r="B73" s="7">
        <v>29</v>
      </c>
      <c r="C73" s="7">
        <v>29</v>
      </c>
    </row>
    <row r="79" spans="1:7" x14ac:dyDescent="0.25">
      <c r="A79" s="5" t="s">
        <v>10</v>
      </c>
      <c r="B79" t="s">
        <v>447</v>
      </c>
      <c r="C79" t="s">
        <v>427</v>
      </c>
      <c r="D79" t="s">
        <v>448</v>
      </c>
    </row>
    <row r="80" spans="1:7" x14ac:dyDescent="0.25">
      <c r="A80" t="s">
        <v>69</v>
      </c>
      <c r="B80" s="4">
        <v>18</v>
      </c>
      <c r="C80" s="7">
        <v>3.8777777777777778</v>
      </c>
      <c r="D80" s="9">
        <v>0.1111111111111111</v>
      </c>
      <c r="F80" s="5" t="s">
        <v>446</v>
      </c>
      <c r="G80" t="s">
        <v>426</v>
      </c>
    </row>
    <row r="81" spans="1:7" x14ac:dyDescent="0.25">
      <c r="A81" t="s">
        <v>153</v>
      </c>
      <c r="B81" s="4">
        <v>10</v>
      </c>
      <c r="C81" s="7">
        <v>1.3699999999999997</v>
      </c>
      <c r="D81" s="9">
        <v>0.1</v>
      </c>
      <c r="F81" s="6" t="s">
        <v>46</v>
      </c>
      <c r="G81" s="4">
        <v>15</v>
      </c>
    </row>
    <row r="82" spans="1:7" x14ac:dyDescent="0.25">
      <c r="A82" t="s">
        <v>87</v>
      </c>
      <c r="B82" s="4">
        <v>17</v>
      </c>
      <c r="C82" s="7">
        <v>3.4823529411764698</v>
      </c>
      <c r="D82" s="9">
        <v>0</v>
      </c>
      <c r="F82" s="6" t="s">
        <v>70</v>
      </c>
      <c r="G82" s="4">
        <v>14</v>
      </c>
    </row>
    <row r="83" spans="1:7" x14ac:dyDescent="0.25">
      <c r="A83" t="s">
        <v>95</v>
      </c>
      <c r="B83" s="4">
        <v>17</v>
      </c>
      <c r="C83" s="7">
        <v>5.1823529411764708</v>
      </c>
      <c r="D83" s="9">
        <v>5.8823529411764705E-2</v>
      </c>
      <c r="F83" s="6" t="s">
        <v>121</v>
      </c>
      <c r="G83" s="4">
        <v>14</v>
      </c>
    </row>
    <row r="84" spans="1:7" x14ac:dyDescent="0.25">
      <c r="A84" t="s">
        <v>82</v>
      </c>
      <c r="B84" s="4">
        <v>15</v>
      </c>
      <c r="C84" s="7">
        <v>2.9999999999999996</v>
      </c>
      <c r="D84" s="9">
        <v>0.13333333333333333</v>
      </c>
      <c r="F84" s="6" t="s">
        <v>110</v>
      </c>
      <c r="G84" s="4">
        <v>14</v>
      </c>
    </row>
    <row r="85" spans="1:7" x14ac:dyDescent="0.25">
      <c r="A85" t="s">
        <v>45</v>
      </c>
      <c r="B85" s="4">
        <v>20</v>
      </c>
      <c r="C85" s="7">
        <v>5.3449999999999998</v>
      </c>
      <c r="D85" s="9">
        <v>0.1</v>
      </c>
      <c r="F85" s="6" t="s">
        <v>167</v>
      </c>
      <c r="G85" s="4">
        <v>13</v>
      </c>
    </row>
    <row r="86" spans="1:7" x14ac:dyDescent="0.25">
      <c r="A86" t="s">
        <v>116</v>
      </c>
      <c r="B86" s="4">
        <v>19</v>
      </c>
      <c r="C86" s="7">
        <v>6.9105263157894745</v>
      </c>
      <c r="D86" s="9">
        <v>5.2631578947368418E-2</v>
      </c>
      <c r="F86" s="6" t="s">
        <v>117</v>
      </c>
      <c r="G86" s="4">
        <v>13</v>
      </c>
    </row>
    <row r="87" spans="1:7" x14ac:dyDescent="0.25">
      <c r="A87" t="s">
        <v>104</v>
      </c>
      <c r="B87" s="4">
        <v>19</v>
      </c>
      <c r="C87" s="7">
        <v>1.2473684210526315</v>
      </c>
      <c r="D87" s="9">
        <v>0.10526315789473684</v>
      </c>
      <c r="F87" s="6" t="s">
        <v>161</v>
      </c>
      <c r="G87" s="4">
        <v>13</v>
      </c>
    </row>
    <row r="88" spans="1:7" x14ac:dyDescent="0.25">
      <c r="A88" t="s">
        <v>62</v>
      </c>
      <c r="B88" s="4">
        <v>15</v>
      </c>
      <c r="C88" s="7">
        <v>5.4666666666666677</v>
      </c>
      <c r="D88" s="9">
        <v>6.6666666666666666E-2</v>
      </c>
      <c r="F88" s="6" t="s">
        <v>126</v>
      </c>
      <c r="G88" s="4">
        <v>12</v>
      </c>
    </row>
    <row r="89" spans="1:7" x14ac:dyDescent="0.25">
      <c r="A89" t="s">
        <v>35</v>
      </c>
      <c r="B89" s="4">
        <v>21</v>
      </c>
      <c r="C89" s="7">
        <v>5.242857142857142</v>
      </c>
      <c r="D89" s="9">
        <v>9.5238095238095233E-2</v>
      </c>
      <c r="F89" s="6" t="s">
        <v>291</v>
      </c>
      <c r="G89" s="4">
        <v>12</v>
      </c>
    </row>
    <row r="90" spans="1:7" x14ac:dyDescent="0.25">
      <c r="A90" t="s">
        <v>132</v>
      </c>
      <c r="B90" s="4">
        <v>25</v>
      </c>
      <c r="C90" s="7">
        <v>7.0480000000000009</v>
      </c>
      <c r="D90" s="9">
        <v>0.2</v>
      </c>
      <c r="F90" s="6" t="s">
        <v>36</v>
      </c>
      <c r="G90" s="4">
        <v>10</v>
      </c>
    </row>
    <row r="91" spans="1:7" x14ac:dyDescent="0.25">
      <c r="A91" t="s">
        <v>76</v>
      </c>
      <c r="B91" s="4">
        <v>26</v>
      </c>
      <c r="C91" s="7">
        <v>3.7730769230769221</v>
      </c>
      <c r="D91" s="9">
        <v>7.6923076923076927E-2</v>
      </c>
      <c r="F91" s="6" t="s">
        <v>83</v>
      </c>
      <c r="G91" s="4">
        <v>10</v>
      </c>
    </row>
    <row r="92" spans="1:7" x14ac:dyDescent="0.25">
      <c r="A92" t="s">
        <v>158</v>
      </c>
      <c r="B92" s="4">
        <v>16</v>
      </c>
      <c r="C92" s="7">
        <v>5.15625</v>
      </c>
      <c r="D92" s="9">
        <v>6.25E-2</v>
      </c>
      <c r="F92" s="6" t="s">
        <v>77</v>
      </c>
      <c r="G92" s="4">
        <v>10</v>
      </c>
    </row>
    <row r="93" spans="1:7" x14ac:dyDescent="0.25">
      <c r="A93" t="s">
        <v>109</v>
      </c>
      <c r="B93" s="4">
        <v>22</v>
      </c>
      <c r="C93" s="7">
        <v>5.0863636363636369</v>
      </c>
      <c r="D93" s="9">
        <v>9.0909090909090912E-2</v>
      </c>
      <c r="F93" s="6" t="s">
        <v>92</v>
      </c>
      <c r="G93" s="4">
        <v>10</v>
      </c>
    </row>
    <row r="94" spans="1:7" x14ac:dyDescent="0.25">
      <c r="A94" t="s">
        <v>143</v>
      </c>
      <c r="B94" s="4">
        <v>21</v>
      </c>
      <c r="C94" s="7">
        <v>8.0142857142857142</v>
      </c>
      <c r="D94" s="9">
        <v>0.23809523809523808</v>
      </c>
      <c r="F94" s="6" t="s">
        <v>179</v>
      </c>
      <c r="G94" s="4">
        <v>10</v>
      </c>
    </row>
    <row r="95" spans="1:7" x14ac:dyDescent="0.25">
      <c r="A95" t="s">
        <v>52</v>
      </c>
      <c r="B95" s="4">
        <v>19</v>
      </c>
      <c r="C95" s="7">
        <v>7.1052631578947381</v>
      </c>
      <c r="D95" s="9">
        <v>0</v>
      </c>
    </row>
  </sheetData>
  <conditionalFormatting pivot="1" sqref="B80:B95">
    <cfRule type="dataBar" priority="3">
      <dataBar>
        <cfvo type="min"/>
        <cfvo type="max"/>
        <color rgb="FF638EC6"/>
      </dataBar>
      <extLst>
        <ext xmlns:x14="http://schemas.microsoft.com/office/spreadsheetml/2009/9/main" uri="{B025F937-C7B1-47D3-B67F-A62EFF666E3E}">
          <x14:id>{A7D7D0ED-B4BD-4AC7-9056-DC40A1E7D5E7}</x14:id>
        </ext>
      </extLst>
    </cfRule>
  </conditionalFormatting>
  <conditionalFormatting pivot="1" sqref="C80:C95">
    <cfRule type="iconSet" priority="2">
      <iconSet iconSet="3Symbols" reverse="1">
        <cfvo type="percent" val="0"/>
        <cfvo type="percent" val="33"/>
        <cfvo type="percent" val="67"/>
      </iconSet>
    </cfRule>
  </conditionalFormatting>
  <conditionalFormatting pivot="1" sqref="D80:D95">
    <cfRule type="colorScale" priority="1">
      <colorScale>
        <cfvo type="min"/>
        <cfvo type="max"/>
        <color rgb="FFFCFCFF"/>
        <color rgb="FF002060"/>
      </colorScale>
    </cfRule>
  </conditionalFormatting>
  <pageMargins left="0.7" right="0.7" top="0.75" bottom="0.75" header="0.3" footer="0.3"/>
  <drawing r:id="rId8"/>
  <extLst>
    <ext xmlns:x14="http://schemas.microsoft.com/office/spreadsheetml/2009/9/main" uri="{78C0D931-6437-407d-A8EE-F0AAD7539E65}">
      <x14:conditionalFormattings>
        <x14:conditionalFormatting xmlns:xm="http://schemas.microsoft.com/office/excel/2006/main" pivot="1">
          <x14:cfRule type="dataBar" id="{A7D7D0ED-B4BD-4AC7-9056-DC40A1E7D5E7}">
            <x14:dataBar minLength="0" maxLength="100" border="1" negativeBarBorderColorSameAsPositive="0">
              <x14:cfvo type="autoMin"/>
              <x14:cfvo type="autoMax"/>
              <x14:borderColor rgb="FF638EC6"/>
              <x14:negativeFillColor rgb="FFFF0000"/>
              <x14:negativeBorderColor rgb="FFFF0000"/>
              <x14:axisColor rgb="FF000000"/>
            </x14:dataBar>
          </x14:cfRule>
          <xm:sqref>B80:B95</xm:sqref>
        </x14:conditionalFormatting>
      </x14:conditionalFormattings>
    </ex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3F1A3D-315A-4070-A7C3-B899C9857A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Merged C&amp;F Data</vt:lpstr>
      <vt:lpstr>Pivot KPI</vt:lpstr>
      <vt:lpstr>Pivot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Faridah Uthman</cp:lastModifiedBy>
  <dcterms:created xsi:type="dcterms:W3CDTF">2026-10-06T06:08:47Z</dcterms:created>
  <dcterms:modified xsi:type="dcterms:W3CDTF">2026-10-06T11:14:35Z</dcterms:modified>
</cp:coreProperties>
</file>